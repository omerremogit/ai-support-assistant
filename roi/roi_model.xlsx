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Summary" sheetId="2" state="visible" r:id="rId4"/>
    <sheet name="Inputs" sheetId="3" state="visible" r:id="rId5"/>
    <sheet name="Model" sheetId="4" state="visible" r:id="rId6"/>
    <sheet name="Sensitivity" sheetId="5" state="visible" r:id="rId7"/>
    <sheet name="Tier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<sst xmlns="http://schemas.openxmlformats.org/spreadsheetml/2006/main" count="404" uniqueCount="268">
  <si>
    <t xml:space="preserve">AI Customer Support Assistant: ROI Model</t>
  </si>
  <si>
    <t xml:space="preserve">Harbor &amp; Thread (fictional) | Step 9 of 11 | Author: Mohammed Omer Ahmed | Version 1.0 (draft)</t>
  </si>
  <si>
    <t xml:space="preserve">What it answers</t>
  </si>
  <si>
    <t xml:space="preserve">What support costs today, what the AI assistant would cost, how much it would save, and the break-even point: the share of chats the AI must resolve before it pays for itself.</t>
  </si>
  <si>
    <t xml:space="preserve">SHEETS</t>
  </si>
  <si>
    <t xml:space="preserve">Summary</t>
  </si>
  <si>
    <t xml:space="preserve">Headline results and a comparison of the three scenarios.</t>
  </si>
  <si>
    <t xml:space="preserve">Inputs</t>
  </si>
  <si>
    <t xml:space="preserve">Every assumption, in one place. Change the blue cells to test your own numbers.</t>
  </si>
  <si>
    <t xml:space="preserve">Model</t>
  </si>
  <si>
    <t xml:space="preserve">All calculations, for the pilot (tiers A and B) and for Phase 2 (adds tier C).</t>
  </si>
  <si>
    <t xml:space="preserve">Sensitivity</t>
  </si>
  <si>
    <t xml:space="preserve">How the pilot's net benefit changes with the containment rate, the request mix and the vendor fee.</t>
  </si>
  <si>
    <t xml:space="preserve">Tier data</t>
  </si>
  <si>
    <t xml:space="preserve">The 55 request types and their tiers from the automation matrix (Step 4). The request mix comes from here.</t>
  </si>
  <si>
    <t xml:space="preserve">COLOR KEY</t>
  </si>
  <si>
    <t xml:space="preserve">Blue text</t>
  </si>
  <si>
    <t xml:space="preserve">An input you can change.</t>
  </si>
  <si>
    <t xml:space="preserve">Yellow fill</t>
  </si>
  <si>
    <t xml:space="preserve">A key assumption that most affects the result.</t>
  </si>
  <si>
    <t xml:space="preserve">Green text</t>
  </si>
  <si>
    <t xml:space="preserve">A value linked from another sheet.</t>
  </si>
  <si>
    <t xml:space="preserve">Black text</t>
  </si>
  <si>
    <t xml:space="preserve">A formula. Don't type over it.</t>
  </si>
  <si>
    <t xml:space="preserve">KEY CAVEATS</t>
  </si>
  <si>
    <t xml:space="preserve">Request mix</t>
  </si>
  <si>
    <t xml:space="preserve">The tier shares come from the ABCD dataset, which was built to cover every request type evenly. A real retailer's mix will differ (BRD risk R6), which is why the Sensitivity sheet tests other mixes.</t>
  </si>
  <si>
    <t xml:space="preserve">Handle time</t>
  </si>
  <si>
    <t xml:space="preserve">The dataset has no chat durations, so the 8 minutes per chat is an assumption from the project brief.</t>
  </si>
  <si>
    <t xml:space="preserve">Vendor pricing</t>
  </si>
  <si>
    <t xml:space="preserve">AI costs are modeled as a small usage cost on every chat plus a fee per AI-resolved or AI-prepared chat, a common vendor pricing structure. Check current vendor pricing before using these numbers.</t>
  </si>
  <si>
    <t xml:space="preserve">Handoffs</t>
  </si>
  <si>
    <t xml:space="preserve">Chats handed to an agent are assumed to take the full handle time. Handoff summaries may save time, but that isn't counted, so the savings are conservative.</t>
  </si>
  <si>
    <t xml:space="preserve">Containment</t>
  </si>
  <si>
    <t xml:space="preserve">The expected containment rate (60%) is the pilot target from the test plan. Step 10 replaces it with the prototype's measured results.</t>
  </si>
  <si>
    <t xml:space="preserve">Staffing</t>
  </si>
  <si>
    <t xml:space="preserve">Hours saved are shown as full-time-equivalent capacity freed up. How that capacity is used (growth, faster service or staffing changes) is out of scope (BRD section 4.2).</t>
  </si>
  <si>
    <t xml:space="preserve">SOURCES</t>
  </si>
  <si>
    <t xml:space="preserve">Volume and cost inputs</t>
  </si>
  <si>
    <t xml:space="preserve">Project brief, section 11 (docs/01_project_brief.md). Placeholders, to be confirmed with Finance.</t>
  </si>
  <si>
    <t xml:space="preserve">Tier shares</t>
  </si>
  <si>
    <t xml:space="preserve">Automation matrix (docs/03_automation_matrix.md), from 10,042 conversations.</t>
  </si>
  <si>
    <t xml:space="preserve">Targets</t>
  </si>
  <si>
    <t xml:space="preserve">Test plan, section 6 (docs/07_test_plan.md).</t>
  </si>
  <si>
    <t xml:space="preserve">ROI Summary: AI Customer Support Assistant</t>
  </si>
  <si>
    <t xml:space="preserve">Expected scenario unless stated. All values link to the Model sheet.</t>
  </si>
  <si>
    <t xml:space="preserve">Headline (expected scenario)</t>
  </si>
  <si>
    <t xml:space="preserve">Value</t>
  </si>
  <si>
    <t xml:space="preserve">Agent cost of chats today (per month)</t>
  </si>
  <si>
    <t xml:space="preserve">Pilot: net annual benefit</t>
  </si>
  <si>
    <t xml:space="preserve">Pilot: payback period</t>
  </si>
  <si>
    <t xml:space="preserve">Pilot: break-even containment rate</t>
  </si>
  <si>
    <t xml:space="preserve">Pilot: containment needed to pay back within 12 months</t>
  </si>
  <si>
    <t xml:space="preserve">Phase 2: net annual benefit</t>
  </si>
  <si>
    <t xml:space="preserve">Phase 2: share of agent chat workload removed</t>
  </si>
  <si>
    <t xml:space="preserve">Phase 2: agent capacity freed (full-time equivalents)</t>
  </si>
  <si>
    <t xml:space="preserve">Scenario comparison</t>
  </si>
  <si>
    <t xml:space="preserve">Worst</t>
  </si>
  <si>
    <t xml:space="preserve">Expected</t>
  </si>
  <si>
    <t xml:space="preserve">Best</t>
  </si>
  <si>
    <t xml:space="preserve">Pilot: break-even containment</t>
  </si>
  <si>
    <t xml:space="preserve">Phase 2: payback period</t>
  </si>
  <si>
    <t xml:space="preserve">Phase 2: workload removed</t>
  </si>
  <si>
    <t xml:space="preserve">Phase 2: net benefit over the analysis period</t>
  </si>
  <si>
    <t xml:space="preserve">Chart data</t>
  </si>
  <si>
    <t xml:space="preserve">Pilot</t>
  </si>
  <si>
    <t xml:space="preserve">Phase 2</t>
  </si>
  <si>
    <t xml:space="preserve">Inputs and assumptions</t>
  </si>
  <si>
    <t xml:space="preserve">Blue = change me. Yellow = key assumption. Green = linked from another sheet.</t>
  </si>
  <si>
    <t xml:space="preserve">Common assumption</t>
  </si>
  <si>
    <t xml:space="preserve">Unit</t>
  </si>
  <si>
    <t xml:space="preserve">Source</t>
  </si>
  <si>
    <t xml:space="preserve">Chats per month</t>
  </si>
  <si>
    <t xml:space="preserve">chats</t>
  </si>
  <si>
    <t xml:space="preserve">Project brief, section 11 (placeholder)</t>
  </si>
  <si>
    <t xml:space="preserve">Average agent handle time per chat</t>
  </si>
  <si>
    <t xml:space="preserve">minutes</t>
  </si>
  <si>
    <t xml:space="preserve">Project brief, section 11. The dataset has no chat durations (BRD CO-3)</t>
  </si>
  <si>
    <t xml:space="preserve">Agent cost per hour, including benefits</t>
  </si>
  <si>
    <t xml:space="preserve">$ / hour</t>
  </si>
  <si>
    <t xml:space="preserve">Support agents</t>
  </si>
  <si>
    <t xml:space="preserve">agents</t>
  </si>
  <si>
    <t xml:space="preserve">Project brief, section 11</t>
  </si>
  <si>
    <t xml:space="preserve">Productive hours per agent per month</t>
  </si>
  <si>
    <t xml:space="preserve">hours</t>
  </si>
  <si>
    <t xml:space="preserve">Assumption: about 35 productive hours a week</t>
  </si>
  <si>
    <t xml:space="preserve">Team lead QA review time per week</t>
  </si>
  <si>
    <t xml:space="preserve">hours / week</t>
  </si>
  <si>
    <t xml:space="preserve">Assumption for the weekly review (FR-42)</t>
  </si>
  <si>
    <t xml:space="preserve">Team lead cost per hour, including benefits</t>
  </si>
  <si>
    <t xml:space="preserve">Assumption</t>
  </si>
  <si>
    <t xml:space="preserve">Weeks per month</t>
  </si>
  <si>
    <t xml:space="preserve">weeks</t>
  </si>
  <si>
    <t xml:space="preserve">52 weeks ÷ 12 months</t>
  </si>
  <si>
    <t xml:space="preserve">Analysis period</t>
  </si>
  <si>
    <t xml:space="preserve">months</t>
  </si>
  <si>
    <t xml:space="preserve">Assumption: three years</t>
  </si>
  <si>
    <t xml:space="preserve">Request mix by tier</t>
  </si>
  <si>
    <t xml:space="preserve">Share</t>
  </si>
  <si>
    <t xml:space="preserve">Tier A: AI handles alone</t>
  </si>
  <si>
    <t xml:space="preserve">Linked from Tier data (automation matrix). Dataset mix, not a real retailer's mix</t>
  </si>
  <si>
    <t xml:space="preserve">Tier B: AI handles after verification</t>
  </si>
  <si>
    <t xml:space="preserve">Tier C: AI prepares, person approves</t>
  </si>
  <si>
    <t xml:space="preserve">Tier D: people only</t>
  </si>
  <si>
    <t xml:space="preserve">Total (check: must be 100%)</t>
  </si>
  <si>
    <t xml:space="preserve">Scenario assumption</t>
  </si>
  <si>
    <t xml:space="preserve">Containment rate: tier A and B chats resolved by AI</t>
  </si>
  <si>
    <t xml:space="preserve">Expected = pilot target (test plan, section 6). Step 10 replaces it with measured results</t>
  </si>
  <si>
    <t xml:space="preserve">Tier C chats successfully prepared by AI</t>
  </si>
  <si>
    <t xml:space="preserve">Assumption. The rest are handed to an agent at full handle time</t>
  </si>
  <si>
    <t xml:space="preserve">Agent minutes to review and approve a tier C chat</t>
  </si>
  <si>
    <t xml:space="preserve">Assumption: one-click approval with evidence shown (FR-36)</t>
  </si>
  <si>
    <t xml:space="preserve">AI usage cost per chat (every chat starts with the AI)</t>
  </si>
  <si>
    <t xml:space="preserve">Assumption: model and hosting costs per conversation</t>
  </si>
  <si>
    <t xml:space="preserve">Vendor fee per AI-resolved or AI-prepared chat</t>
  </si>
  <si>
    <t xml:space="preserve">Assumption based on per-resolution vendor pricing. Check current pricing</t>
  </si>
  <si>
    <t xml:space="preserve">Fixed platform and maintenance cost per month</t>
  </si>
  <si>
    <t xml:space="preserve">Assumption: platform, monitoring and FAQ upkeep</t>
  </si>
  <si>
    <t xml:space="preserve">One-time cost: pilot implementation</t>
  </si>
  <si>
    <t xml:space="preserve">Assumption: integration, testing (Step 8) and training</t>
  </si>
  <si>
    <t xml:space="preserve">One-time cost: additional for Phase 2</t>
  </si>
  <si>
    <t xml:space="preserve">Assumption: approval tool (DE-2), write access, stronger identity check (FR-08)</t>
  </si>
  <si>
    <t xml:space="preserve">Example of the expected format: 0.60 shows as 60.0%. Enter percentages as decimals.</t>
  </si>
  <si>
    <t xml:space="preserve">Model: calculations by scenario</t>
  </si>
  <si>
    <t xml:space="preserve">All black cells are formulas. Change values on the Inputs sheet.</t>
  </si>
  <si>
    <t xml:space="preserve">Monthly figures unless stated</t>
  </si>
  <si>
    <t xml:space="preserve">How it's calculated</t>
  </si>
  <si>
    <t xml:space="preserve">TODAY: every chat handled by an agent</t>
  </si>
  <si>
    <t xml:space="preserve">Agent hours spent on chats</t>
  </si>
  <si>
    <t xml:space="preserve">Chats × handle time</t>
  </si>
  <si>
    <t xml:space="preserve">Agent cost of chats</t>
  </si>
  <si>
    <t xml:space="preserve">Hours × cost per hour</t>
  </si>
  <si>
    <t xml:space="preserve">Agent capacity (hours)</t>
  </si>
  <si>
    <t xml:space="preserve">Agents × productive hours</t>
  </si>
  <si>
    <t xml:space="preserve">Capacity used by chats</t>
  </si>
  <si>
    <t xml:space="preserve">Check: today's workload fits the team</t>
  </si>
  <si>
    <t xml:space="preserve">CHATS BY TIER</t>
  </si>
  <si>
    <t xml:space="preserve">Tier A chats</t>
  </si>
  <si>
    <t xml:space="preserve">Chats × tier share</t>
  </si>
  <si>
    <t xml:space="preserve">Tier B chats</t>
  </si>
  <si>
    <t xml:space="preserve">Tier C chats</t>
  </si>
  <si>
    <t xml:space="preserve">Tier D chats</t>
  </si>
  <si>
    <t xml:space="preserve">PILOT: AI handles tiers A and B</t>
  </si>
  <si>
    <t xml:space="preserve">Chats resolved by AI</t>
  </si>
  <si>
    <t xml:space="preserve">Tier A and B chats × containment rate</t>
  </si>
  <si>
    <t xml:space="preserve">Agent hours saved</t>
  </si>
  <si>
    <t xml:space="preserve">Resolved chats × handle time</t>
  </si>
  <si>
    <t xml:space="preserve">Value of agent time saved</t>
  </si>
  <si>
    <t xml:space="preserve">Hours saved × cost per hour</t>
  </si>
  <si>
    <t xml:space="preserve">AI usage cost</t>
  </si>
  <si>
    <t xml:space="preserve">Every chat starts with the AI</t>
  </si>
  <si>
    <t xml:space="preserve">Vendor fees</t>
  </si>
  <si>
    <t xml:space="preserve">Resolved chats × fee</t>
  </si>
  <si>
    <t xml:space="preserve">Fixed platform cost</t>
  </si>
  <si>
    <t xml:space="preserve">Team lead QA review cost</t>
  </si>
  <si>
    <t xml:space="preserve">Weekly review hours × weeks × cost per hour</t>
  </si>
  <si>
    <t xml:space="preserve">Total AI running cost</t>
  </si>
  <si>
    <t xml:space="preserve">Net monthly benefit</t>
  </si>
  <si>
    <t xml:space="preserve">Value saved − running cost</t>
  </si>
  <si>
    <t xml:space="preserve">Net annual benefit</t>
  </si>
  <si>
    <t xml:space="preserve">One-time implementation cost</t>
  </si>
  <si>
    <t xml:space="preserve">Payback period (months)</t>
  </si>
  <si>
    <t xml:space="preserve">One-time cost ÷ net monthly benefit</t>
  </si>
  <si>
    <t xml:space="preserve">Net benefit over the analysis period</t>
  </si>
  <si>
    <t xml:space="preserve">Net monthly × months − one-time cost</t>
  </si>
  <si>
    <t xml:space="preserve">Return on one-time investment</t>
  </si>
  <si>
    <t xml:space="preserve">Net benefit over the period ÷ one-time cost</t>
  </si>
  <si>
    <t xml:space="preserve">Agent capacity freed (full-time equivalents)</t>
  </si>
  <si>
    <t xml:space="preserve">Hours saved ÷ productive hours per agent</t>
  </si>
  <si>
    <t xml:space="preserve">Break-even containment rate (monthly)</t>
  </si>
  <si>
    <t xml:space="preserve">Containment where savings equal running costs</t>
  </si>
  <si>
    <t xml:space="preserve">Containment needed to pay back within 12 months</t>
  </si>
  <si>
    <t xml:space="preserve">Also covers the one-time cost over 12 months</t>
  </si>
  <si>
    <t xml:space="preserve">PHASE 2: adds tier C with agent approval</t>
  </si>
  <si>
    <t xml:space="preserve">Tier C chats prepared by AI</t>
  </si>
  <si>
    <t xml:space="preserve">Tier C chats × prepared share</t>
  </si>
  <si>
    <t xml:space="preserve">Agent hours saved on tier C</t>
  </si>
  <si>
    <t xml:space="preserve">Prepared chats × (handle time − approval time)</t>
  </si>
  <si>
    <t xml:space="preserve">Total agent hours saved</t>
  </si>
  <si>
    <t xml:space="preserve">Pilot hours + tier C hours</t>
  </si>
  <si>
    <t xml:space="preserve">Same as the pilot</t>
  </si>
  <si>
    <t xml:space="preserve">Resolved and prepared chats × fee</t>
  </si>
  <si>
    <t xml:space="preserve">One-time cost (pilot + Phase 2)</t>
  </si>
  <si>
    <t xml:space="preserve">Share of agent chat workload removed</t>
  </si>
  <si>
    <t xml:space="preserve">Hours saved ÷ today's hours</t>
  </si>
  <si>
    <t xml:space="preserve">Sensitivity: pilot net monthly benefit</t>
  </si>
  <si>
    <t xml:space="preserve">Expected-scenario costs. Green = positive, red = negative. The highlighted column is the dataset's mix.</t>
  </si>
  <si>
    <t xml:space="preserve">Table 1: containment rate × share of chats in tiers A and B</t>
  </si>
  <si>
    <t xml:space="preserve">Containment ↓  /  A+B share →</t>
  </si>
  <si>
    <t xml:space="preserve">The row and column headers can be changed to test other values. The middle column (yellow text) always shows the current mix from Inputs.</t>
  </si>
  <si>
    <t xml:space="preserve">Table 2: containment rate × vendor fee per resolved chat (current mix)</t>
  </si>
  <si>
    <t xml:space="preserve">Containment ↓  /  Fee →</t>
  </si>
  <si>
    <t xml:space="preserve">How to read it: each cell is the pilot's net monthly benefit. Table 1 shows the biggest risk (BRD R6): if the real request mix has fewer tier A and B chats than the dataset, savings shrink, but the pilot still pays for itself in most cells.</t>
  </si>
  <si>
    <t xml:space="preserve">Request types by tier (from the automation matrix, Step 4)</t>
  </si>
  <si>
    <t xml:space="preserve">Request type</t>
  </si>
  <si>
    <t xml:space="preserve">Category</t>
  </si>
  <si>
    <t xml:space="preserve">Tier</t>
  </si>
  <si>
    <t xml:space="preserve">Conversations</t>
  </si>
  <si>
    <t xml:space="preserve">boots</t>
  </si>
  <si>
    <t xml:space="preserve">Product and store FAQs</t>
  </si>
  <si>
    <t xml:space="preserve">A</t>
  </si>
  <si>
    <t xml:space="preserve">membership</t>
  </si>
  <si>
    <t xml:space="preserve">B</t>
  </si>
  <si>
    <t xml:space="preserve">pricing</t>
  </si>
  <si>
    <t xml:space="preserve">C</t>
  </si>
  <si>
    <t xml:space="preserve">policy</t>
  </si>
  <si>
    <t xml:space="preserve">D</t>
  </si>
  <si>
    <t xml:space="preserve">timing</t>
  </si>
  <si>
    <t xml:space="preserve">Total</t>
  </si>
  <si>
    <t xml:space="preserve">jacket</t>
  </si>
  <si>
    <t xml:space="preserve">jeans</t>
  </si>
  <si>
    <t xml:space="preserve">shirt</t>
  </si>
  <si>
    <t xml:space="preserve">credit_card</t>
  </si>
  <si>
    <t xml:space="preserve">Website troubleshooting</t>
  </si>
  <si>
    <t xml:space="preserve">search_results</t>
  </si>
  <si>
    <t xml:space="preserve">shopping_cart</t>
  </si>
  <si>
    <t xml:space="preserve">slow_speed</t>
  </si>
  <si>
    <t xml:space="preserve">recover_username</t>
  </si>
  <si>
    <t xml:space="preserve">Account access</t>
  </si>
  <si>
    <t xml:space="preserve">refund_status</t>
  </si>
  <si>
    <t xml:space="preserve">Refunds and returns</t>
  </si>
  <si>
    <t xml:space="preserve">status</t>
  </si>
  <si>
    <t xml:space="preserve">Shipping</t>
  </si>
  <si>
    <t xml:space="preserve">status_due_amount</t>
  </si>
  <si>
    <t xml:space="preserve">Subscription</t>
  </si>
  <si>
    <t xml:space="preserve">status_due_date</t>
  </si>
  <si>
    <t xml:space="preserve">status_active</t>
  </si>
  <si>
    <t xml:space="preserve">status_service_removed</t>
  </si>
  <si>
    <t xml:space="preserve">Account management</t>
  </si>
  <si>
    <t xml:space="preserve">status_service_added</t>
  </si>
  <si>
    <t xml:space="preserve">status_credit_missing</t>
  </si>
  <si>
    <t xml:space="preserve">manage_change_address</t>
  </si>
  <si>
    <t xml:space="preserve">manage_change_name</t>
  </si>
  <si>
    <t xml:space="preserve">manage_change_phone</t>
  </si>
  <si>
    <t xml:space="preserve">manage_payment_method</t>
  </si>
  <si>
    <t xml:space="preserve">status_quantity</t>
  </si>
  <si>
    <t xml:space="preserve">Order issues</t>
  </si>
  <si>
    <t xml:space="preserve">status_payment_method</t>
  </si>
  <si>
    <t xml:space="preserve">manage_create</t>
  </si>
  <si>
    <t xml:space="preserve">status_mystery_fee</t>
  </si>
  <si>
    <t xml:space="preserve">manage_cancel</t>
  </si>
  <si>
    <t xml:space="preserve">manage_downgrade</t>
  </si>
  <si>
    <t xml:space="preserve">manage_upgrade</t>
  </si>
  <si>
    <t xml:space="preserve">bad_price_competitor</t>
  </si>
  <si>
    <t xml:space="preserve">Purchase disputes</t>
  </si>
  <si>
    <t xml:space="preserve">out_of_stock_general</t>
  </si>
  <si>
    <t xml:space="preserve">bad_price_yesterday</t>
  </si>
  <si>
    <t xml:space="preserve">promo_code_invalid</t>
  </si>
  <si>
    <t xml:space="preserve">out_of_stock_one_item</t>
  </si>
  <si>
    <t xml:space="preserve">promo_code_out_of_date</t>
  </si>
  <si>
    <t xml:space="preserve">return_size</t>
  </si>
  <si>
    <t xml:space="preserve">return_color</t>
  </si>
  <si>
    <t xml:space="preserve">refund_update</t>
  </si>
  <si>
    <t xml:space="preserve">refund_initiate</t>
  </si>
  <si>
    <t xml:space="preserve">return_stain</t>
  </si>
  <si>
    <t xml:space="preserve">missing</t>
  </si>
  <si>
    <t xml:space="preserve">manage</t>
  </si>
  <si>
    <t xml:space="preserve">cost</t>
  </si>
  <si>
    <t xml:space="preserve">manage_dispute_bill</t>
  </si>
  <si>
    <t xml:space="preserve">manage_extension</t>
  </si>
  <si>
    <t xml:space="preserve">manage_pay_bill</t>
  </si>
  <si>
    <t xml:space="preserve">reset_2fa</t>
  </si>
  <si>
    <t xml:space="preserve">recover_password</t>
  </si>
  <si>
    <t xml:space="preserve">status_shipping_question</t>
  </si>
  <si>
    <t xml:space="preserve">status_delivery_time</t>
  </si>
  <si>
    <t xml:space="preserve">mistimed_billing_never_bought</t>
  </si>
  <si>
    <t xml:space="preserve">mistimed_billing_already_returned</t>
  </si>
  <si>
    <t xml:space="preserve">Source: docs/automation_matrix.csv, conversation counts from the ABCD dataset (10,042 conversations).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</si>
</sst>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&quot; months&quot;"/>
    <numFmt numFmtId="167" formatCode="0.0%;\(0.0%\);\-"/>
    <numFmt numFmtId="168" formatCode="#,##0.0;\(#,##0.0\);\-"/>
    <numFmt numFmtId="169" formatCode="\$#,##0"/>
    <numFmt numFmtId="170" formatCode="#,##0;\(#,##0\);\-"/>
    <numFmt numFmtId="171" formatCode="\$#,##0.00;&quot;($&quot;#,##0.00\);\-"/>
    <numFmt numFmtId="172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annual benefit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Summary!C28</c:f>
              <c:strCache>
                <c:ptCount val="1"/>
                <c:pt idx="0">
                  <c:v>Pilot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Summary!$B$29:$B$31</c:f>
              <c:strCache>
                <c:ptCount val="3"/>
                <c:pt idx="0">
                  <c:v>Worst</c:v>
                </c:pt>
                <c:pt idx="1">
                  <c:v>Expected</c:v>
                </c:pt>
                <c:pt idx="2">
                  <c:v>Best</c:v>
                </c:pt>
              </c:strCache>
            </c:strRef>
          </c:cat>
          <c:val>
            <c:numRef>
              <c:f>Summary!$C$29:$C$31</c:f>
              <c:numCache>
                <c:formatCode>\$#,##0;"($"#,##0\);\-</c:formatCode>
                <c:ptCount val="3"/>
                <c:pt idx="0">
                  <c:v>40743.5414459271</c:v>
                </c:pt>
                <c:pt idx="1">
                  <c:v>229245.210436168</c:v>
                </c:pt>
                <c:pt idx="2">
                  <c:v>358347.464967138</c:v>
                </c:pt>
              </c:numCache>
            </c:numRef>
          </c:val>
        </c:ser>
        <c:ser>
          <c:idx val="1"/>
          <c:order val="1"/>
          <c:tx>
            <c:strRef>
              <c:f>Summary!D28</c:f>
              <c:strCache>
                <c:ptCount val="1"/>
                <c:pt idx="0">
                  <c:v>Phase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Summary!$B$29:$B$31</c:f>
              <c:strCache>
                <c:ptCount val="3"/>
                <c:pt idx="0">
                  <c:v>Worst</c:v>
                </c:pt>
                <c:pt idx="1">
                  <c:v>Expected</c:v>
                </c:pt>
                <c:pt idx="2">
                  <c:v>Best</c:v>
                </c:pt>
              </c:strCache>
            </c:strRef>
          </c:cat>
          <c:val>
            <c:numRef>
              <c:f>Summary!$D$29:$D$31</c:f>
              <c:numCache>
                <c:formatCode>\$#,##0;"($"#,##0\);\-</c:formatCode>
                <c:ptCount val="3"/>
                <c:pt idx="0">
                  <c:v>91147.8433778132</c:v>
                </c:pt>
                <c:pt idx="1">
                  <c:v>475483.489663414</c:v>
                </c:pt>
                <c:pt idx="2">
                  <c:v>725900.940370444</c:v>
                </c:pt>
              </c:numCache>
            </c:numRef>
          </c:val>
        </c:ser>
        <c:gapWidth val="150"/>
        <c:overlap val="0"/>
        <c:axId val="42675350"/>
        <c:axId val="20248484"/>
      </c:barChart>
      <c:catAx>
        <c:axId val="42675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48484"/>
        <c:crosses val="autoZero"/>
        <c:auto val="1"/>
        <c:lblAlgn val="ctr"/>
        <c:lblOffset val="100"/>
        <c:noMultiLvlLbl val="0"/>
      </c:catAx>
      <c:valAx>
        <c:axId val="20248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75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160560</xdr:rowOff>
    </xdr:from>
    <xdr:to>
      <xdr:col>3</xdr:col>
      <xdr:colOff>1107360</xdr:colOff>
      <xdr:row>46</xdr:row>
      <xdr:rowOff>2520</xdr:rowOff>
    </xdr:to>
    <xdr:graphicFrame>
      <xdr:nvGraphicFramePr>
        <xdr:cNvPr id="0" name="Chart 1"/>
        <xdr:cNvGraphicFramePr/>
      </xdr:nvGraphicFramePr>
      <xdr:xfrm>
        <a:off x="211320" y="6095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6.8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5"/>
      <c r="C6" s="6"/>
    </row>
    <row r="7" customFormat="false" ht="15" hidden="false" customHeight="false" outlineLevel="0" collapsed="false">
      <c r="B7" s="3" t="s">
        <v>4</v>
      </c>
      <c r="C7" s="6"/>
    </row>
    <row r="8" customFormat="false" ht="15" hidden="false" customHeight="false" outlineLevel="0" collapsed="false">
      <c r="B8" s="3" t="s">
        <v>5</v>
      </c>
      <c r="C8" s="4" t="s">
        <v>6</v>
      </c>
    </row>
    <row r="9" customFormat="false" ht="15" hidden="false" customHeight="false" outlineLevel="0" collapsed="false">
      <c r="B9" s="3" t="s">
        <v>7</v>
      </c>
      <c r="C9" s="4" t="s">
        <v>8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26.85" hidden="false" customHeight="false" outlineLevel="0" collapsed="false">
      <c r="B11" s="3" t="s">
        <v>11</v>
      </c>
      <c r="C11" s="4" t="s">
        <v>12</v>
      </c>
    </row>
    <row r="12" customFormat="false" ht="26.85" hidden="false" customHeight="false" outlineLevel="0" collapsed="false">
      <c r="B12" s="3" t="s">
        <v>13</v>
      </c>
      <c r="C12" s="4" t="s">
        <v>14</v>
      </c>
    </row>
    <row r="13" customFormat="false" ht="15" hidden="false" customHeight="false" outlineLevel="0" collapsed="false">
      <c r="B13" s="5"/>
      <c r="C13" s="6"/>
    </row>
    <row r="14" customFormat="false" ht="15" hidden="false" customHeight="false" outlineLevel="0" collapsed="false">
      <c r="B14" s="3" t="s">
        <v>15</v>
      </c>
      <c r="C14" s="6"/>
    </row>
    <row r="15" customFormat="false" ht="15" hidden="false" customHeight="false" outlineLevel="0" collapsed="false">
      <c r="B15" s="7" t="s">
        <v>16</v>
      </c>
      <c r="C15" s="4" t="s">
        <v>17</v>
      </c>
    </row>
    <row r="16" customFormat="false" ht="15" hidden="false" customHeight="false" outlineLevel="0" collapsed="false">
      <c r="B16" s="8" t="s">
        <v>18</v>
      </c>
      <c r="C16" s="4" t="s">
        <v>19</v>
      </c>
    </row>
    <row r="17" customFormat="false" ht="15" hidden="false" customHeight="false" outlineLevel="0" collapsed="false">
      <c r="B17" s="9" t="s">
        <v>20</v>
      </c>
      <c r="C17" s="4" t="s">
        <v>21</v>
      </c>
    </row>
    <row r="18" customFormat="false" ht="15" hidden="false" customHeight="false" outlineLevel="0" collapsed="false">
      <c r="B18" s="3" t="s">
        <v>22</v>
      </c>
      <c r="C18" s="4" t="s">
        <v>23</v>
      </c>
    </row>
    <row r="19" customFormat="false" ht="15" hidden="false" customHeight="false" outlineLevel="0" collapsed="false">
      <c r="B19" s="5"/>
      <c r="C19" s="6"/>
    </row>
    <row r="20" customFormat="false" ht="15" hidden="false" customHeight="false" outlineLevel="0" collapsed="false">
      <c r="B20" s="3" t="s">
        <v>24</v>
      </c>
      <c r="C20" s="6"/>
    </row>
    <row r="21" customFormat="false" ht="39.55" hidden="false" customHeight="false" outlineLevel="0" collapsed="false">
      <c r="B21" s="3" t="s">
        <v>25</v>
      </c>
      <c r="C21" s="4" t="s">
        <v>26</v>
      </c>
    </row>
    <row r="22" customFormat="false" ht="26.85" hidden="false" customHeight="false" outlineLevel="0" collapsed="false">
      <c r="B22" s="3" t="s">
        <v>27</v>
      </c>
      <c r="C22" s="4" t="s">
        <v>28</v>
      </c>
    </row>
    <row r="23" customFormat="false" ht="39.55" hidden="false" customHeight="false" outlineLevel="0" collapsed="false">
      <c r="B23" s="3" t="s">
        <v>29</v>
      </c>
      <c r="C23" s="4" t="s">
        <v>30</v>
      </c>
    </row>
    <row r="24" customFormat="false" ht="26.85" hidden="false" customHeight="false" outlineLevel="0" collapsed="false">
      <c r="B24" s="3" t="s">
        <v>31</v>
      </c>
      <c r="C24" s="4" t="s">
        <v>32</v>
      </c>
    </row>
    <row r="25" customFormat="false" ht="26.85" hidden="false" customHeight="false" outlineLevel="0" collapsed="false">
      <c r="B25" s="3" t="s">
        <v>33</v>
      </c>
      <c r="C25" s="4" t="s">
        <v>34</v>
      </c>
    </row>
    <row r="26" customFormat="false" ht="26.85" hidden="false" customHeight="false" outlineLevel="0" collapsed="false">
      <c r="B26" s="3" t="s">
        <v>35</v>
      </c>
      <c r="C26" s="4" t="s">
        <v>36</v>
      </c>
    </row>
    <row r="27" customFormat="false" ht="15" hidden="false" customHeight="false" outlineLevel="0" collapsed="false">
      <c r="B27" s="5"/>
      <c r="C27" s="6"/>
    </row>
    <row r="28" customFormat="false" ht="15" hidden="false" customHeight="false" outlineLevel="0" collapsed="false">
      <c r="B28" s="3" t="s">
        <v>37</v>
      </c>
      <c r="C28" s="6"/>
    </row>
    <row r="29" customFormat="false" ht="15" hidden="false" customHeight="false" outlineLevel="0" collapsed="false">
      <c r="B29" s="3" t="s">
        <v>38</v>
      </c>
      <c r="C29" s="4" t="s">
        <v>39</v>
      </c>
    </row>
    <row r="30" customFormat="false" ht="15" hidden="false" customHeight="false" outlineLevel="0" collapsed="false">
      <c r="B30" s="3" t="s">
        <v>40</v>
      </c>
      <c r="C30" s="4" t="s">
        <v>41</v>
      </c>
    </row>
    <row r="31" customFormat="false" ht="15" hidden="false" customHeight="false" outlineLevel="0" collapsed="false">
      <c r="B31" s="3" t="s">
        <v>42</v>
      </c>
      <c r="C31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5" min="3" style="0" width="16"/>
  </cols>
  <sheetData>
    <row r="2" customFormat="false" ht="17.35" hidden="false" customHeight="false" outlineLevel="0" collapsed="false">
      <c r="B2" s="1" t="s">
        <v>44</v>
      </c>
    </row>
    <row r="3" customFormat="false" ht="15" hidden="false" customHeight="false" outlineLevel="0" collapsed="false">
      <c r="B3" s="2" t="s">
        <v>45</v>
      </c>
    </row>
    <row r="5" customFormat="false" ht="15" hidden="false" customHeight="false" outlineLevel="0" collapsed="false">
      <c r="B5" s="10" t="s">
        <v>46</v>
      </c>
      <c r="C5" s="10" t="s">
        <v>47</v>
      </c>
    </row>
    <row r="6" customFormat="false" ht="15" hidden="false" customHeight="false" outlineLevel="0" collapsed="false">
      <c r="B6" s="11" t="s">
        <v>48</v>
      </c>
      <c r="C6" s="12" t="n">
        <f aca="false">Model!C8</f>
        <v>128000</v>
      </c>
    </row>
    <row r="7" customFormat="false" ht="15" hidden="false" customHeight="false" outlineLevel="0" collapsed="false">
      <c r="B7" s="11" t="s">
        <v>49</v>
      </c>
      <c r="C7" s="12" t="n">
        <f aca="false">Model!C28</f>
        <v>229245.210436168</v>
      </c>
    </row>
    <row r="8" customFormat="false" ht="15" hidden="false" customHeight="false" outlineLevel="0" collapsed="false">
      <c r="B8" s="11" t="s">
        <v>50</v>
      </c>
      <c r="C8" s="13" t="n">
        <f aca="false">Model!C30</f>
        <v>6.28148347029898</v>
      </c>
    </row>
    <row r="9" customFormat="false" ht="15" hidden="false" customHeight="false" outlineLevel="0" collapsed="false">
      <c r="B9" s="11" t="s">
        <v>51</v>
      </c>
      <c r="C9" s="14" t="n">
        <f aca="false">Model!C34</f>
        <v>0.153005692279517</v>
      </c>
    </row>
    <row r="10" customFormat="false" ht="15" hidden="false" customHeight="false" outlineLevel="0" collapsed="false">
      <c r="B10" s="11" t="s">
        <v>52</v>
      </c>
      <c r="C10" s="14" t="n">
        <f aca="false">Model!C35</f>
        <v>0.386987971884846</v>
      </c>
    </row>
    <row r="11" customFormat="false" ht="15" hidden="false" customHeight="false" outlineLevel="0" collapsed="false">
      <c r="B11" s="11" t="s">
        <v>53</v>
      </c>
      <c r="C11" s="12" t="n">
        <f aca="false">Model!C48</f>
        <v>475483.489663414</v>
      </c>
    </row>
    <row r="12" customFormat="false" ht="15" hidden="false" customHeight="false" outlineLevel="0" collapsed="false">
      <c r="B12" s="11" t="s">
        <v>54</v>
      </c>
      <c r="C12" s="14" t="n">
        <f aca="false">Model!C54</f>
        <v>0.492989444333798</v>
      </c>
    </row>
    <row r="13" customFormat="false" ht="15" hidden="false" customHeight="false" outlineLevel="0" collapsed="false">
      <c r="B13" s="11" t="s">
        <v>55</v>
      </c>
      <c r="C13" s="15" t="n">
        <f aca="false">Model!C53</f>
        <v>14.0854126952514</v>
      </c>
    </row>
    <row r="15" customFormat="false" ht="15" hidden="false" customHeight="false" outlineLevel="0" collapsed="false">
      <c r="B15" s="16" t="str">
        <f aca="false">"The pilot breaks even once the AI resolves "&amp;TEXT(Model!C34,"0%")&amp;" of tier A and B chats, against a target of "&amp;TEXT(Inputs!C23,"0%")&amp;". At the target, it pays back its one-time cost in about "&amp;TEXT(Model!C30,"0.0")&amp;" months."</f>
        <v>The pilot breaks even once the AI resolves 15% of tier A and B chats, against a target of 60%. At the target, it pays back its one-time cost in about 6.3 months.</v>
      </c>
      <c r="C15" s="16"/>
      <c r="D15" s="16"/>
      <c r="E15" s="16"/>
    </row>
    <row r="16" customFormat="false" ht="15" hidden="false" customHeight="false" outlineLevel="0" collapsed="false">
      <c r="B16" s="16"/>
      <c r="C16" s="16"/>
      <c r="D16" s="16"/>
      <c r="E16" s="16"/>
    </row>
    <row r="18" customFormat="false" ht="15" hidden="false" customHeight="false" outlineLevel="0" collapsed="false">
      <c r="B18" s="10" t="s">
        <v>56</v>
      </c>
      <c r="C18" s="10" t="s">
        <v>57</v>
      </c>
      <c r="D18" s="10" t="s">
        <v>58</v>
      </c>
      <c r="E18" s="10" t="s">
        <v>59</v>
      </c>
    </row>
    <row r="19" customFormat="false" ht="15" hidden="false" customHeight="false" outlineLevel="0" collapsed="false">
      <c r="B19" s="11" t="s">
        <v>49</v>
      </c>
      <c r="C19" s="12" t="n">
        <f aca="false">Model!B28</f>
        <v>40743.5414459271</v>
      </c>
      <c r="D19" s="12" t="n">
        <f aca="false">Model!C28</f>
        <v>229245.210436168</v>
      </c>
      <c r="E19" s="12" t="n">
        <f aca="false">Model!D28</f>
        <v>358347.464967138</v>
      </c>
    </row>
    <row r="20" customFormat="false" ht="15" hidden="false" customHeight="false" outlineLevel="0" collapsed="false">
      <c r="B20" s="11" t="s">
        <v>50</v>
      </c>
      <c r="C20" s="13" t="n">
        <f aca="false">Model!B30</f>
        <v>47.1240332053151</v>
      </c>
      <c r="D20" s="13" t="n">
        <f aca="false">Model!C30</f>
        <v>6.28148347029898</v>
      </c>
      <c r="E20" s="13" t="n">
        <f aca="false">Model!D30</f>
        <v>3.01383463142132</v>
      </c>
    </row>
    <row r="21" customFormat="false" ht="15" hidden="false" customHeight="false" outlineLevel="0" collapsed="false">
      <c r="B21" s="11" t="s">
        <v>60</v>
      </c>
      <c r="C21" s="14" t="n">
        <f aca="false">Model!B34</f>
        <v>0.305911634812268</v>
      </c>
      <c r="D21" s="14" t="n">
        <f aca="false">Model!C34</f>
        <v>0.153005692279517</v>
      </c>
      <c r="E21" s="14" t="n">
        <f aca="false">Model!D34</f>
        <v>0.098960833497969</v>
      </c>
    </row>
    <row r="22" customFormat="false" ht="15" hidden="false" customHeight="false" outlineLevel="0" collapsed="false">
      <c r="B22" s="11" t="s">
        <v>53</v>
      </c>
      <c r="C22" s="12" t="n">
        <f aca="false">Model!B48</f>
        <v>91147.8433778132</v>
      </c>
      <c r="D22" s="12" t="n">
        <f aca="false">Model!C48</f>
        <v>475483.489663414</v>
      </c>
      <c r="E22" s="12" t="n">
        <f aca="false">Model!D48</f>
        <v>725900.940370444</v>
      </c>
    </row>
    <row r="23" customFormat="false" ht="15" hidden="false" customHeight="false" outlineLevel="0" collapsed="false">
      <c r="B23" s="11" t="s">
        <v>61</v>
      </c>
      <c r="C23" s="13" t="n">
        <f aca="false">Model!B50</f>
        <v>35.5466446591611</v>
      </c>
      <c r="D23" s="13" t="n">
        <f aca="false">Model!C50</f>
        <v>5.04749387134119</v>
      </c>
      <c r="E23" s="13" t="n">
        <f aca="false">Model!D50</f>
        <v>2.47967718443982</v>
      </c>
    </row>
    <row r="24" customFormat="false" ht="15" hidden="false" customHeight="false" outlineLevel="0" collapsed="false">
      <c r="B24" s="11" t="s">
        <v>62</v>
      </c>
      <c r="C24" s="14" t="n">
        <f aca="false">Model!B54</f>
        <v>0.284445329615614</v>
      </c>
      <c r="D24" s="14" t="n">
        <f aca="false">Model!C54</f>
        <v>0.492989444333798</v>
      </c>
      <c r="E24" s="14" t="n">
        <f aca="false">Model!D54</f>
        <v>0.631435471021709</v>
      </c>
    </row>
    <row r="25" customFormat="false" ht="15" hidden="false" customHeight="false" outlineLevel="0" collapsed="false">
      <c r="B25" s="11" t="s">
        <v>63</v>
      </c>
      <c r="C25" s="12" t="n">
        <f aca="false">Model!B51</f>
        <v>3443.53013343958</v>
      </c>
      <c r="D25" s="12" t="n">
        <f aca="false">Model!C51</f>
        <v>1226450.46899024</v>
      </c>
      <c r="E25" s="12" t="n">
        <f aca="false">Model!D51</f>
        <v>2027702.82111133</v>
      </c>
    </row>
    <row r="28" customFormat="false" ht="15" hidden="false" customHeight="false" outlineLevel="0" collapsed="false">
      <c r="B28" s="2" t="s">
        <v>64</v>
      </c>
      <c r="C28" s="2" t="s">
        <v>65</v>
      </c>
      <c r="D28" s="2" t="s">
        <v>66</v>
      </c>
    </row>
    <row r="29" customFormat="false" ht="15" hidden="false" customHeight="false" outlineLevel="0" collapsed="false">
      <c r="B29" s="17" t="s">
        <v>57</v>
      </c>
      <c r="C29" s="18" t="n">
        <f aca="false">Model!B28</f>
        <v>40743.5414459271</v>
      </c>
      <c r="D29" s="18" t="n">
        <f aca="false">Model!B48</f>
        <v>91147.8433778132</v>
      </c>
    </row>
    <row r="30" customFormat="false" ht="15" hidden="false" customHeight="false" outlineLevel="0" collapsed="false">
      <c r="B30" s="17" t="s">
        <v>58</v>
      </c>
      <c r="C30" s="18" t="n">
        <f aca="false">Model!C28</f>
        <v>229245.210436168</v>
      </c>
      <c r="D30" s="18" t="n">
        <f aca="false">Model!C48</f>
        <v>475483.489663414</v>
      </c>
    </row>
    <row r="31" customFormat="false" ht="15" hidden="false" customHeight="false" outlineLevel="0" collapsed="false">
      <c r="B31" s="17" t="s">
        <v>59</v>
      </c>
      <c r="C31" s="18" t="n">
        <f aca="false">Model!D28</f>
        <v>358347.464967138</v>
      </c>
      <c r="D31" s="18" t="n">
        <f aca="false">Model!D48</f>
        <v>725900.940370444</v>
      </c>
    </row>
  </sheetData>
  <mergeCells count="1">
    <mergeCell ref="B15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10" t="s">
        <v>69</v>
      </c>
      <c r="B4" s="10" t="s">
        <v>47</v>
      </c>
      <c r="C4" s="10" t="s">
        <v>70</v>
      </c>
      <c r="E4" s="10" t="s">
        <v>71</v>
      </c>
    </row>
    <row r="5" customFormat="false" ht="15" hidden="false" customHeight="false" outlineLevel="0" collapsed="false">
      <c r="A5" s="11" t="s">
        <v>72</v>
      </c>
      <c r="B5" s="19" t="n">
        <v>30000</v>
      </c>
      <c r="C5" s="11" t="s">
        <v>73</v>
      </c>
      <c r="E5" s="20" t="s">
        <v>74</v>
      </c>
    </row>
    <row r="6" customFormat="false" ht="15" hidden="false" customHeight="false" outlineLevel="0" collapsed="false">
      <c r="A6" s="11" t="s">
        <v>75</v>
      </c>
      <c r="B6" s="21" t="n">
        <v>8</v>
      </c>
      <c r="C6" s="11" t="s">
        <v>76</v>
      </c>
      <c r="E6" s="20" t="s">
        <v>77</v>
      </c>
    </row>
    <row r="7" customFormat="false" ht="15" hidden="false" customHeight="false" outlineLevel="0" collapsed="false">
      <c r="A7" s="11" t="s">
        <v>78</v>
      </c>
      <c r="B7" s="22" t="n">
        <v>32</v>
      </c>
      <c r="C7" s="11" t="s">
        <v>79</v>
      </c>
      <c r="E7" s="20" t="s">
        <v>74</v>
      </c>
    </row>
    <row r="8" customFormat="false" ht="15" hidden="false" customHeight="false" outlineLevel="0" collapsed="false">
      <c r="A8" s="11" t="s">
        <v>80</v>
      </c>
      <c r="B8" s="23" t="n">
        <v>40</v>
      </c>
      <c r="C8" s="11" t="s">
        <v>81</v>
      </c>
      <c r="E8" s="20" t="s">
        <v>82</v>
      </c>
    </row>
    <row r="9" customFormat="false" ht="15" hidden="false" customHeight="false" outlineLevel="0" collapsed="false">
      <c r="A9" s="11" t="s">
        <v>83</v>
      </c>
      <c r="B9" s="23" t="n">
        <v>140</v>
      </c>
      <c r="C9" s="11" t="s">
        <v>84</v>
      </c>
      <c r="E9" s="20" t="s">
        <v>85</v>
      </c>
    </row>
    <row r="10" customFormat="false" ht="15" hidden="false" customHeight="false" outlineLevel="0" collapsed="false">
      <c r="A10" s="11" t="s">
        <v>86</v>
      </c>
      <c r="B10" s="24" t="n">
        <v>6</v>
      </c>
      <c r="C10" s="11" t="s">
        <v>87</v>
      </c>
      <c r="E10" s="20" t="s">
        <v>88</v>
      </c>
    </row>
    <row r="11" customFormat="false" ht="15" hidden="false" customHeight="false" outlineLevel="0" collapsed="false">
      <c r="A11" s="11" t="s">
        <v>89</v>
      </c>
      <c r="B11" s="25" t="n">
        <v>40</v>
      </c>
      <c r="C11" s="11" t="s">
        <v>79</v>
      </c>
      <c r="E11" s="20" t="s">
        <v>90</v>
      </c>
    </row>
    <row r="12" customFormat="false" ht="15" hidden="false" customHeight="false" outlineLevel="0" collapsed="false">
      <c r="A12" s="11" t="s">
        <v>91</v>
      </c>
      <c r="B12" s="26" t="n">
        <v>4.33</v>
      </c>
      <c r="C12" s="11" t="s">
        <v>92</v>
      </c>
      <c r="E12" s="20" t="s">
        <v>93</v>
      </c>
    </row>
    <row r="13" customFormat="false" ht="15" hidden="false" customHeight="false" outlineLevel="0" collapsed="false">
      <c r="A13" s="11" t="s">
        <v>94</v>
      </c>
      <c r="B13" s="23" t="n">
        <v>36</v>
      </c>
      <c r="C13" s="11" t="s">
        <v>95</v>
      </c>
      <c r="E13" s="20" t="s">
        <v>96</v>
      </c>
    </row>
    <row r="15" customFormat="false" ht="15" hidden="false" customHeight="false" outlineLevel="0" collapsed="false">
      <c r="A15" s="10" t="s">
        <v>97</v>
      </c>
      <c r="B15" s="10" t="s">
        <v>98</v>
      </c>
      <c r="C15" s="10"/>
      <c r="E15" s="10"/>
    </row>
    <row r="16" customFormat="false" ht="15" hidden="false" customHeight="false" outlineLevel="0" collapsed="false">
      <c r="A16" s="11" t="s">
        <v>99</v>
      </c>
      <c r="B16" s="14" t="n">
        <f aca="false">'Tier data'!H4</f>
        <v>0.315176259709221</v>
      </c>
      <c r="C16" s="11"/>
      <c r="E16" s="20" t="s">
        <v>100</v>
      </c>
    </row>
    <row r="17" customFormat="false" ht="15" hidden="false" customHeight="false" outlineLevel="0" collapsed="false">
      <c r="A17" s="11" t="s">
        <v>101</v>
      </c>
      <c r="B17" s="14" t="n">
        <f aca="false">'Tier data'!H5</f>
        <v>0.119597689703246</v>
      </c>
      <c r="C17" s="11"/>
      <c r="E17" s="20"/>
    </row>
    <row r="18" customFormat="false" ht="15" hidden="false" customHeight="false" outlineLevel="0" collapsed="false">
      <c r="A18" s="11" t="s">
        <v>102</v>
      </c>
      <c r="B18" s="14" t="n">
        <f aca="false">'Tier data'!H6</f>
        <v>0.442142999402509</v>
      </c>
      <c r="C18" s="11"/>
      <c r="E18" s="20"/>
    </row>
    <row r="19" customFormat="false" ht="15" hidden="false" customHeight="false" outlineLevel="0" collapsed="false">
      <c r="A19" s="11" t="s">
        <v>103</v>
      </c>
      <c r="B19" s="14" t="n">
        <f aca="false">'Tier data'!H7</f>
        <v>0.123083051185023</v>
      </c>
      <c r="C19" s="11"/>
      <c r="E19" s="20"/>
    </row>
    <row r="20" customFormat="false" ht="15" hidden="false" customHeight="false" outlineLevel="0" collapsed="false">
      <c r="A20" s="27" t="s">
        <v>104</v>
      </c>
      <c r="B20" s="28" t="n">
        <f aca="false">SUM(B16:B19)</f>
        <v>1</v>
      </c>
    </row>
    <row r="22" customFormat="false" ht="15" hidden="false" customHeight="false" outlineLevel="0" collapsed="false">
      <c r="A22" s="10" t="s">
        <v>105</v>
      </c>
      <c r="B22" s="10" t="s">
        <v>57</v>
      </c>
      <c r="C22" s="10" t="s">
        <v>58</v>
      </c>
      <c r="D22" s="10" t="s">
        <v>59</v>
      </c>
      <c r="E22" s="10" t="s">
        <v>71</v>
      </c>
    </row>
    <row r="23" customFormat="false" ht="15" hidden="false" customHeight="false" outlineLevel="0" collapsed="false">
      <c r="A23" s="11" t="s">
        <v>106</v>
      </c>
      <c r="B23" s="29" t="n">
        <v>0.4</v>
      </c>
      <c r="C23" s="29" t="n">
        <v>0.6</v>
      </c>
      <c r="D23" s="29" t="n">
        <v>0.75</v>
      </c>
      <c r="E23" s="20" t="s">
        <v>107</v>
      </c>
    </row>
    <row r="24" customFormat="false" ht="15" hidden="false" customHeight="false" outlineLevel="0" collapsed="false">
      <c r="A24" s="11" t="s">
        <v>108</v>
      </c>
      <c r="B24" s="29" t="n">
        <v>0.5</v>
      </c>
      <c r="C24" s="29" t="n">
        <v>0.7</v>
      </c>
      <c r="D24" s="29" t="n">
        <v>0.85</v>
      </c>
      <c r="E24" s="20" t="s">
        <v>109</v>
      </c>
    </row>
    <row r="25" customFormat="false" ht="15" hidden="false" customHeight="false" outlineLevel="0" collapsed="false">
      <c r="A25" s="11" t="s">
        <v>110</v>
      </c>
      <c r="B25" s="24" t="n">
        <v>4</v>
      </c>
      <c r="C25" s="24" t="n">
        <v>2</v>
      </c>
      <c r="D25" s="24" t="n">
        <v>1.5</v>
      </c>
      <c r="E25" s="20" t="s">
        <v>111</v>
      </c>
    </row>
    <row r="26" customFormat="false" ht="15" hidden="false" customHeight="false" outlineLevel="0" collapsed="false">
      <c r="A26" s="11" t="s">
        <v>112</v>
      </c>
      <c r="B26" s="25" t="n">
        <v>0.2</v>
      </c>
      <c r="C26" s="25" t="n">
        <v>0.1</v>
      </c>
      <c r="D26" s="25" t="n">
        <v>0.05</v>
      </c>
      <c r="E26" s="20" t="s">
        <v>113</v>
      </c>
    </row>
    <row r="27" customFormat="false" ht="15" hidden="false" customHeight="false" outlineLevel="0" collapsed="false">
      <c r="A27" s="11" t="s">
        <v>114</v>
      </c>
      <c r="B27" s="22" t="n">
        <v>1.5</v>
      </c>
      <c r="C27" s="22" t="n">
        <v>0.99</v>
      </c>
      <c r="D27" s="22" t="n">
        <v>0.75</v>
      </c>
      <c r="E27" s="20" t="s">
        <v>115</v>
      </c>
    </row>
    <row r="28" customFormat="false" ht="15" hidden="false" customHeight="false" outlineLevel="0" collapsed="false">
      <c r="A28" s="11" t="s">
        <v>116</v>
      </c>
      <c r="B28" s="30" t="n">
        <v>4000</v>
      </c>
      <c r="C28" s="30" t="n">
        <v>2500</v>
      </c>
      <c r="D28" s="30" t="n">
        <v>2000</v>
      </c>
      <c r="E28" s="20" t="s">
        <v>117</v>
      </c>
    </row>
    <row r="29" customFormat="false" ht="15" hidden="false" customHeight="false" outlineLevel="0" collapsed="false">
      <c r="A29" s="11" t="s">
        <v>118</v>
      </c>
      <c r="B29" s="31" t="n">
        <v>160000</v>
      </c>
      <c r="C29" s="31" t="n">
        <v>120000</v>
      </c>
      <c r="D29" s="31" t="n">
        <v>90000</v>
      </c>
      <c r="E29" s="20" t="s">
        <v>119</v>
      </c>
    </row>
    <row r="30" customFormat="false" ht="15" hidden="false" customHeight="false" outlineLevel="0" collapsed="false">
      <c r="A30" s="11" t="s">
        <v>120</v>
      </c>
      <c r="B30" s="30" t="n">
        <v>110000</v>
      </c>
      <c r="C30" s="30" t="n">
        <v>80000</v>
      </c>
      <c r="D30" s="30" t="n">
        <v>60000</v>
      </c>
      <c r="E30" s="20" t="s">
        <v>121</v>
      </c>
    </row>
    <row r="32" customFormat="false" ht="15" hidden="false" customHeight="false" outlineLevel="0" collapsed="false">
      <c r="A32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10" t="s">
        <v>125</v>
      </c>
      <c r="B4" s="10" t="s">
        <v>57</v>
      </c>
      <c r="C4" s="10" t="s">
        <v>58</v>
      </c>
      <c r="D4" s="10" t="s">
        <v>59</v>
      </c>
      <c r="E4" s="10" t="s">
        <v>126</v>
      </c>
    </row>
    <row r="6" customFormat="false" ht="15" hidden="false" customHeight="false" outlineLevel="0" collapsed="false">
      <c r="A6" s="32" t="s">
        <v>127</v>
      </c>
      <c r="B6" s="33"/>
      <c r="C6" s="33"/>
      <c r="D6" s="33"/>
      <c r="E6" s="33"/>
    </row>
    <row r="7" customFormat="false" ht="15" hidden="false" customHeight="false" outlineLevel="0" collapsed="false">
      <c r="A7" s="34" t="s">
        <v>128</v>
      </c>
      <c r="B7" s="35" t="n">
        <f aca="false">Inputs!$B$5*Inputs!$B$6/60</f>
        <v>4000</v>
      </c>
      <c r="C7" s="35" t="n">
        <f aca="false">Inputs!$B$5*Inputs!$B$6/60</f>
        <v>4000</v>
      </c>
      <c r="D7" s="35" t="n">
        <f aca="false">Inputs!$B$5*Inputs!$B$6/60</f>
        <v>4000</v>
      </c>
      <c r="E7" s="2" t="s">
        <v>129</v>
      </c>
    </row>
    <row r="8" customFormat="false" ht="15" hidden="false" customHeight="false" outlineLevel="0" collapsed="false">
      <c r="A8" s="34" t="s">
        <v>130</v>
      </c>
      <c r="B8" s="36" t="n">
        <f aca="false">B7*Inputs!$B$7</f>
        <v>128000</v>
      </c>
      <c r="C8" s="36" t="n">
        <f aca="false">C7*Inputs!$B$7</f>
        <v>128000</v>
      </c>
      <c r="D8" s="36" t="n">
        <f aca="false">D7*Inputs!$B$7</f>
        <v>128000</v>
      </c>
      <c r="E8" s="2" t="s">
        <v>131</v>
      </c>
    </row>
    <row r="9" customFormat="false" ht="15" hidden="false" customHeight="false" outlineLevel="0" collapsed="false">
      <c r="A9" s="34" t="s">
        <v>132</v>
      </c>
      <c r="B9" s="35" t="n">
        <f aca="false">Inputs!$B$8*Inputs!$B$9</f>
        <v>5600</v>
      </c>
      <c r="C9" s="35" t="n">
        <f aca="false">Inputs!$B$8*Inputs!$B$9</f>
        <v>5600</v>
      </c>
      <c r="D9" s="35" t="n">
        <f aca="false">Inputs!$B$8*Inputs!$B$9</f>
        <v>5600</v>
      </c>
      <c r="E9" s="2" t="s">
        <v>133</v>
      </c>
    </row>
    <row r="10" customFormat="false" ht="15" hidden="false" customHeight="false" outlineLevel="0" collapsed="false">
      <c r="A10" s="34" t="s">
        <v>134</v>
      </c>
      <c r="B10" s="37" t="n">
        <f aca="false">IF(B9&gt;0,B7/B9,0)</f>
        <v>0.714285714285714</v>
      </c>
      <c r="C10" s="37" t="n">
        <f aca="false">IF(C9&gt;0,C7/C9,0)</f>
        <v>0.714285714285714</v>
      </c>
      <c r="D10" s="37" t="n">
        <f aca="false">IF(D9&gt;0,D7/D9,0)</f>
        <v>0.714285714285714</v>
      </c>
      <c r="E10" s="2" t="s">
        <v>135</v>
      </c>
    </row>
    <row r="12" customFormat="false" ht="15" hidden="false" customHeight="false" outlineLevel="0" collapsed="false">
      <c r="A12" s="32" t="s">
        <v>136</v>
      </c>
      <c r="B12" s="33"/>
      <c r="C12" s="33"/>
      <c r="D12" s="33"/>
      <c r="E12" s="33"/>
    </row>
    <row r="13" customFormat="false" ht="15" hidden="false" customHeight="false" outlineLevel="0" collapsed="false">
      <c r="A13" s="34" t="s">
        <v>137</v>
      </c>
      <c r="B13" s="35" t="n">
        <f aca="false">Inputs!$B$5*Inputs!$B$16</f>
        <v>9455.28779127664</v>
      </c>
      <c r="C13" s="35" t="n">
        <f aca="false">Inputs!$B$5*Inputs!$B$16</f>
        <v>9455.28779127664</v>
      </c>
      <c r="D13" s="35" t="n">
        <f aca="false">Inputs!$B$5*Inputs!$B$16</f>
        <v>9455.28779127664</v>
      </c>
      <c r="E13" s="2" t="s">
        <v>138</v>
      </c>
    </row>
    <row r="14" customFormat="false" ht="15" hidden="false" customHeight="false" outlineLevel="0" collapsed="false">
      <c r="A14" s="34" t="s">
        <v>139</v>
      </c>
      <c r="B14" s="35" t="n">
        <f aca="false">Inputs!$B$5*Inputs!$B$17</f>
        <v>3587.93069109739</v>
      </c>
      <c r="C14" s="35" t="n">
        <f aca="false">Inputs!$B$5*Inputs!$B$17</f>
        <v>3587.93069109739</v>
      </c>
      <c r="D14" s="35" t="n">
        <f aca="false">Inputs!$B$5*Inputs!$B$17</f>
        <v>3587.93069109739</v>
      </c>
      <c r="E14" s="2" t="s">
        <v>138</v>
      </c>
    </row>
    <row r="15" customFormat="false" ht="15" hidden="false" customHeight="false" outlineLevel="0" collapsed="false">
      <c r="A15" s="34" t="s">
        <v>140</v>
      </c>
      <c r="B15" s="35" t="n">
        <f aca="false">Inputs!$B$5*Inputs!$B$18</f>
        <v>13264.2899820753</v>
      </c>
      <c r="C15" s="35" t="n">
        <f aca="false">Inputs!$B$5*Inputs!$B$18</f>
        <v>13264.2899820753</v>
      </c>
      <c r="D15" s="35" t="n">
        <f aca="false">Inputs!$B$5*Inputs!$B$18</f>
        <v>13264.2899820753</v>
      </c>
      <c r="E15" s="2" t="s">
        <v>138</v>
      </c>
    </row>
    <row r="16" customFormat="false" ht="15" hidden="false" customHeight="false" outlineLevel="0" collapsed="false">
      <c r="A16" s="34" t="s">
        <v>141</v>
      </c>
      <c r="B16" s="35" t="n">
        <f aca="false">Inputs!$B$5*Inputs!$B$19</f>
        <v>3692.49153555069</v>
      </c>
      <c r="C16" s="35" t="n">
        <f aca="false">Inputs!$B$5*Inputs!$B$19</f>
        <v>3692.49153555069</v>
      </c>
      <c r="D16" s="35" t="n">
        <f aca="false">Inputs!$B$5*Inputs!$B$19</f>
        <v>3692.49153555069</v>
      </c>
      <c r="E16" s="2" t="s">
        <v>138</v>
      </c>
    </row>
    <row r="18" customFormat="false" ht="15" hidden="false" customHeight="false" outlineLevel="0" collapsed="false">
      <c r="A18" s="32" t="s">
        <v>142</v>
      </c>
      <c r="B18" s="33"/>
      <c r="C18" s="33"/>
      <c r="D18" s="33"/>
      <c r="E18" s="33"/>
    </row>
    <row r="19" customFormat="false" ht="15" hidden="false" customHeight="false" outlineLevel="0" collapsed="false">
      <c r="A19" s="34" t="s">
        <v>143</v>
      </c>
      <c r="B19" s="35" t="n">
        <f aca="false">(B13+B14)*Inputs!B23</f>
        <v>5217.28739294961</v>
      </c>
      <c r="C19" s="35" t="n">
        <f aca="false">(C13+C14)*Inputs!C23</f>
        <v>7825.93108942442</v>
      </c>
      <c r="D19" s="35" t="n">
        <f aca="false">(D13+D14)*Inputs!D23</f>
        <v>9782.41386178052</v>
      </c>
      <c r="E19" s="2" t="s">
        <v>144</v>
      </c>
    </row>
    <row r="20" customFormat="false" ht="15" hidden="false" customHeight="false" outlineLevel="0" collapsed="false">
      <c r="A20" s="34" t="s">
        <v>145</v>
      </c>
      <c r="B20" s="35" t="n">
        <f aca="false">B19*Inputs!$B$6/60</f>
        <v>695.638319059948</v>
      </c>
      <c r="C20" s="35" t="n">
        <f aca="false">C19*Inputs!$B$6/60</f>
        <v>1043.45747858992</v>
      </c>
      <c r="D20" s="35" t="n">
        <f aca="false">D19*Inputs!$B$6/60</f>
        <v>1304.3218482374</v>
      </c>
      <c r="E20" s="2" t="s">
        <v>146</v>
      </c>
    </row>
    <row r="21" customFormat="false" ht="15" hidden="false" customHeight="false" outlineLevel="0" collapsed="false">
      <c r="A21" s="38" t="s">
        <v>147</v>
      </c>
      <c r="B21" s="39" t="n">
        <f aca="false">B20*Inputs!$B$7</f>
        <v>22260.4262099183</v>
      </c>
      <c r="C21" s="39" t="n">
        <f aca="false">C20*Inputs!$B$7</f>
        <v>33390.6393148775</v>
      </c>
      <c r="D21" s="39" t="n">
        <f aca="false">D20*Inputs!$B$7</f>
        <v>41738.2991435969</v>
      </c>
      <c r="E21" s="2" t="s">
        <v>148</v>
      </c>
    </row>
    <row r="22" customFormat="false" ht="15" hidden="false" customHeight="false" outlineLevel="0" collapsed="false">
      <c r="A22" s="34" t="s">
        <v>149</v>
      </c>
      <c r="B22" s="36" t="n">
        <f aca="false">Inputs!$B$5*Inputs!B26</f>
        <v>6000</v>
      </c>
      <c r="C22" s="36" t="n">
        <f aca="false">Inputs!$B$5*Inputs!C26</f>
        <v>3000</v>
      </c>
      <c r="D22" s="36" t="n">
        <f aca="false">Inputs!$B$5*Inputs!D26</f>
        <v>1500</v>
      </c>
      <c r="E22" s="2" t="s">
        <v>150</v>
      </c>
    </row>
    <row r="23" customFormat="false" ht="15" hidden="false" customHeight="false" outlineLevel="0" collapsed="false">
      <c r="A23" s="34" t="s">
        <v>151</v>
      </c>
      <c r="B23" s="36" t="n">
        <f aca="false">B19*Inputs!B27</f>
        <v>7825.93108942442</v>
      </c>
      <c r="C23" s="36" t="n">
        <f aca="false">C19*Inputs!C27</f>
        <v>7747.67177853017</v>
      </c>
      <c r="D23" s="36" t="n">
        <f aca="false">D19*Inputs!D27</f>
        <v>7336.81039633539</v>
      </c>
      <c r="E23" s="2" t="s">
        <v>152</v>
      </c>
    </row>
    <row r="24" customFormat="false" ht="15" hidden="false" customHeight="false" outlineLevel="0" collapsed="false">
      <c r="A24" s="34" t="s">
        <v>153</v>
      </c>
      <c r="B24" s="36" t="n">
        <f aca="false">Inputs!B28</f>
        <v>4000</v>
      </c>
      <c r="C24" s="36" t="n">
        <f aca="false">Inputs!C28</f>
        <v>2500</v>
      </c>
      <c r="D24" s="36" t="n">
        <f aca="false">Inputs!D28</f>
        <v>2000</v>
      </c>
      <c r="E24" s="2"/>
    </row>
    <row r="25" customFormat="false" ht="15" hidden="false" customHeight="false" outlineLevel="0" collapsed="false">
      <c r="A25" s="34" t="s">
        <v>154</v>
      </c>
      <c r="B25" s="36" t="n">
        <f aca="false">Inputs!$B$10*Inputs!$B$12*Inputs!$B$11</f>
        <v>1039.2</v>
      </c>
      <c r="C25" s="36" t="n">
        <f aca="false">Inputs!$B$10*Inputs!$B$12*Inputs!$B$11</f>
        <v>1039.2</v>
      </c>
      <c r="D25" s="36" t="n">
        <f aca="false">Inputs!$B$10*Inputs!$B$12*Inputs!$B$11</f>
        <v>1039.2</v>
      </c>
      <c r="E25" s="2" t="s">
        <v>155</v>
      </c>
    </row>
    <row r="26" customFormat="false" ht="15" hidden="false" customHeight="false" outlineLevel="0" collapsed="false">
      <c r="A26" s="38" t="s">
        <v>156</v>
      </c>
      <c r="B26" s="39" t="n">
        <f aca="false">SUM(B22:B25)</f>
        <v>18865.1310894244</v>
      </c>
      <c r="C26" s="39" t="n">
        <f aca="false">SUM(C22:C25)</f>
        <v>14286.8717785302</v>
      </c>
      <c r="D26" s="39" t="n">
        <f aca="false">SUM(D22:D25)</f>
        <v>11876.0103963354</v>
      </c>
      <c r="E26" s="2"/>
    </row>
    <row r="27" customFormat="false" ht="15" hidden="false" customHeight="false" outlineLevel="0" collapsed="false">
      <c r="A27" s="38" t="s">
        <v>157</v>
      </c>
      <c r="B27" s="39" t="n">
        <f aca="false">B21-B26</f>
        <v>3395.29512049392</v>
      </c>
      <c r="C27" s="39" t="n">
        <f aca="false">C21-C26</f>
        <v>19103.7675363473</v>
      </c>
      <c r="D27" s="39" t="n">
        <f aca="false">D21-D26</f>
        <v>29862.2887472615</v>
      </c>
      <c r="E27" s="2" t="s">
        <v>158</v>
      </c>
    </row>
    <row r="28" customFormat="false" ht="15" hidden="false" customHeight="false" outlineLevel="0" collapsed="false">
      <c r="A28" s="38" t="s">
        <v>159</v>
      </c>
      <c r="B28" s="39" t="n">
        <f aca="false">B27*12</f>
        <v>40743.5414459271</v>
      </c>
      <c r="C28" s="39" t="n">
        <f aca="false">C27*12</f>
        <v>229245.210436168</v>
      </c>
      <c r="D28" s="39" t="n">
        <f aca="false">D27*12</f>
        <v>358347.464967138</v>
      </c>
      <c r="E28" s="2"/>
    </row>
    <row r="29" customFormat="false" ht="15" hidden="false" customHeight="false" outlineLevel="0" collapsed="false">
      <c r="A29" s="34" t="s">
        <v>160</v>
      </c>
      <c r="B29" s="36" t="n">
        <f aca="false">Inputs!B29</f>
        <v>160000</v>
      </c>
      <c r="C29" s="36" t="n">
        <f aca="false">Inputs!C29</f>
        <v>120000</v>
      </c>
      <c r="D29" s="36" t="n">
        <f aca="false">Inputs!D29</f>
        <v>90000</v>
      </c>
      <c r="E29" s="2"/>
    </row>
    <row r="30" customFormat="false" ht="15" hidden="false" customHeight="false" outlineLevel="0" collapsed="false">
      <c r="A30" s="34" t="s">
        <v>161</v>
      </c>
      <c r="B30" s="40" t="n">
        <f aca="false">IF(B27&gt;0,B29/B27,"No payback")</f>
        <v>47.1240332053151</v>
      </c>
      <c r="C30" s="40" t="n">
        <f aca="false">IF(C27&gt;0,C29/C27,"No payback")</f>
        <v>6.28148347029898</v>
      </c>
      <c r="D30" s="40" t="n">
        <f aca="false">IF(D27&gt;0,D29/D27,"No payback")</f>
        <v>3.01383463142132</v>
      </c>
      <c r="E30" s="2" t="s">
        <v>162</v>
      </c>
    </row>
    <row r="31" customFormat="false" ht="15" hidden="false" customHeight="false" outlineLevel="0" collapsed="false">
      <c r="A31" s="34" t="s">
        <v>163</v>
      </c>
      <c r="B31" s="36" t="n">
        <f aca="false">B27*Inputs!$B$13-B29</f>
        <v>-37769.3756622188</v>
      </c>
      <c r="C31" s="36" t="n">
        <f aca="false">C27*Inputs!$B$13-C29</f>
        <v>567735.631308504</v>
      </c>
      <c r="D31" s="36" t="n">
        <f aca="false">D27*Inputs!$B$13-D29</f>
        <v>985042.394901414</v>
      </c>
      <c r="E31" s="2" t="s">
        <v>164</v>
      </c>
    </row>
    <row r="32" customFormat="false" ht="15" hidden="false" customHeight="false" outlineLevel="0" collapsed="false">
      <c r="A32" s="34" t="s">
        <v>165</v>
      </c>
      <c r="B32" s="37" t="n">
        <f aca="false">IF(B29&gt;0,B31/B29,0)</f>
        <v>-0.236058597888867</v>
      </c>
      <c r="C32" s="37" t="n">
        <f aca="false">IF(C29&gt;0,C31/C29,0)</f>
        <v>4.7311302609042</v>
      </c>
      <c r="D32" s="37" t="n">
        <f aca="false">IF(D29&gt;0,D31/D29,0)</f>
        <v>10.9449154989046</v>
      </c>
      <c r="E32" s="2" t="s">
        <v>166</v>
      </c>
    </row>
    <row r="33" customFormat="false" ht="15" hidden="false" customHeight="false" outlineLevel="0" collapsed="false">
      <c r="A33" s="34" t="s">
        <v>167</v>
      </c>
      <c r="B33" s="41" t="n">
        <f aca="false">IF(Inputs!$B$9&gt;0,B20/Inputs!$B$9,0)</f>
        <v>4.96884513614249</v>
      </c>
      <c r="C33" s="41" t="n">
        <f aca="false">IF(Inputs!$B$9&gt;0,C20/Inputs!$B$9,0)</f>
        <v>7.45326770421373</v>
      </c>
      <c r="D33" s="41" t="n">
        <f aca="false">IF(Inputs!$B$9&gt;0,D20/Inputs!$B$9,0)</f>
        <v>9.31658463026716</v>
      </c>
      <c r="E33" s="2" t="s">
        <v>168</v>
      </c>
    </row>
    <row r="34" customFormat="false" ht="15" hidden="false" customHeight="false" outlineLevel="0" collapsed="false">
      <c r="A34" s="38" t="s">
        <v>169</v>
      </c>
      <c r="B34" s="42" t="n">
        <f aca="false">(B22+B24+B25)/((B13+B14)*(Inputs!$B$6/60*Inputs!$B$7-Inputs!B27))</f>
        <v>0.305911634812268</v>
      </c>
      <c r="C34" s="42" t="n">
        <f aca="false">(C22+C24+C25)/((C13+C14)*(Inputs!$B$6/60*Inputs!$B$7-Inputs!C27))</f>
        <v>0.153005692279517</v>
      </c>
      <c r="D34" s="42" t="n">
        <f aca="false">(D22+D24+D25)/((D13+D14)*(Inputs!$B$6/60*Inputs!$B$7-Inputs!D27))</f>
        <v>0.098960833497969</v>
      </c>
      <c r="E34" s="2" t="s">
        <v>170</v>
      </c>
    </row>
    <row r="35" customFormat="false" ht="15" hidden="false" customHeight="false" outlineLevel="0" collapsed="false">
      <c r="A35" s="38" t="s">
        <v>171</v>
      </c>
      <c r="B35" s="42" t="n">
        <f aca="false">(B22+B24+B25+B29/12)/((B13+B14)*(Inputs!$B$6/60*Inputs!$B$7-Inputs!B27))</f>
        <v>0.67539690525731</v>
      </c>
      <c r="C35" s="42" t="n">
        <f aca="false">(C22+C24+C25+C29/12)/((C13+C14)*(Inputs!$B$6/60*Inputs!$B$7-Inputs!C27))</f>
        <v>0.386987971884846</v>
      </c>
      <c r="D35" s="42" t="n">
        <f aca="false">(D22+D24+D25+D29/12)/((D13+D14)*(Inputs!$B$6/60*Inputs!$B$7-Inputs!D27))</f>
        <v>0.262471199032594</v>
      </c>
      <c r="E35" s="2" t="s">
        <v>172</v>
      </c>
    </row>
    <row r="37" customFormat="false" ht="15" hidden="false" customHeight="false" outlineLevel="0" collapsed="false">
      <c r="A37" s="32" t="s">
        <v>173</v>
      </c>
      <c r="B37" s="33"/>
      <c r="C37" s="33"/>
      <c r="D37" s="33"/>
      <c r="E37" s="33"/>
    </row>
    <row r="38" customFormat="false" ht="15" hidden="false" customHeight="false" outlineLevel="0" collapsed="false">
      <c r="A38" s="34" t="s">
        <v>174</v>
      </c>
      <c r="B38" s="35" t="n">
        <f aca="false">B15*Inputs!B24</f>
        <v>6632.14499103764</v>
      </c>
      <c r="C38" s="35" t="n">
        <f aca="false">C15*Inputs!C24</f>
        <v>9285.0029874527</v>
      </c>
      <c r="D38" s="35" t="n">
        <f aca="false">D15*Inputs!D24</f>
        <v>11274.646484764</v>
      </c>
      <c r="E38" s="2" t="s">
        <v>175</v>
      </c>
    </row>
    <row r="39" customFormat="false" ht="15" hidden="false" customHeight="false" outlineLevel="0" collapsed="false">
      <c r="A39" s="34" t="s">
        <v>176</v>
      </c>
      <c r="B39" s="35" t="n">
        <f aca="false">B38*(Inputs!$B$6-Inputs!B25)/60</f>
        <v>442.142999402509</v>
      </c>
      <c r="C39" s="35" t="n">
        <f aca="false">C38*(Inputs!$B$6-Inputs!C25)/60</f>
        <v>928.50029874527</v>
      </c>
      <c r="D39" s="35" t="n">
        <f aca="false">D38*(Inputs!$B$6-Inputs!D25)/60</f>
        <v>1221.42003584943</v>
      </c>
      <c r="E39" s="2" t="s">
        <v>177</v>
      </c>
    </row>
    <row r="40" customFormat="false" ht="15" hidden="false" customHeight="false" outlineLevel="0" collapsed="false">
      <c r="A40" s="34" t="s">
        <v>178</v>
      </c>
      <c r="B40" s="35" t="n">
        <f aca="false">B20+B39</f>
        <v>1137.78131846246</v>
      </c>
      <c r="C40" s="35" t="n">
        <f aca="false">C20+C39</f>
        <v>1971.95777733519</v>
      </c>
      <c r="D40" s="35" t="n">
        <f aca="false">D20+D39</f>
        <v>2525.74188408684</v>
      </c>
      <c r="E40" s="2" t="s">
        <v>179</v>
      </c>
    </row>
    <row r="41" customFormat="false" ht="15" hidden="false" customHeight="false" outlineLevel="0" collapsed="false">
      <c r="A41" s="38" t="s">
        <v>147</v>
      </c>
      <c r="B41" s="39" t="n">
        <f aca="false">B40*Inputs!$B$7</f>
        <v>36409.0021907986</v>
      </c>
      <c r="C41" s="39" t="n">
        <f aca="false">C40*Inputs!$B$7</f>
        <v>63102.6488747262</v>
      </c>
      <c r="D41" s="39" t="n">
        <f aca="false">D40*Inputs!$B$7</f>
        <v>80823.7402907787</v>
      </c>
      <c r="E41" s="2"/>
    </row>
    <row r="42" customFormat="false" ht="15" hidden="false" customHeight="false" outlineLevel="0" collapsed="false">
      <c r="A42" s="34" t="s">
        <v>149</v>
      </c>
      <c r="B42" s="36" t="n">
        <f aca="false">B22</f>
        <v>6000</v>
      </c>
      <c r="C42" s="36" t="n">
        <f aca="false">C22</f>
        <v>3000</v>
      </c>
      <c r="D42" s="36" t="n">
        <f aca="false">D22</f>
        <v>1500</v>
      </c>
      <c r="E42" s="2" t="s">
        <v>180</v>
      </c>
    </row>
    <row r="43" customFormat="false" ht="15" hidden="false" customHeight="false" outlineLevel="0" collapsed="false">
      <c r="A43" s="34" t="s">
        <v>151</v>
      </c>
      <c r="B43" s="36" t="n">
        <f aca="false">(B19+B38)*Inputs!B27</f>
        <v>17774.1485759809</v>
      </c>
      <c r="C43" s="36" t="n">
        <f aca="false">(C19+C38)*Inputs!C27</f>
        <v>16939.8247361083</v>
      </c>
      <c r="D43" s="36" t="n">
        <f aca="false">(D19+D38)*Inputs!D27</f>
        <v>15792.7952599084</v>
      </c>
      <c r="E43" s="2" t="s">
        <v>181</v>
      </c>
    </row>
    <row r="44" customFormat="false" ht="15" hidden="false" customHeight="false" outlineLevel="0" collapsed="false">
      <c r="A44" s="34" t="s">
        <v>153</v>
      </c>
      <c r="B44" s="36" t="n">
        <f aca="false">B24</f>
        <v>4000</v>
      </c>
      <c r="C44" s="36" t="n">
        <f aca="false">C24</f>
        <v>2500</v>
      </c>
      <c r="D44" s="36" t="n">
        <f aca="false">D24</f>
        <v>2000</v>
      </c>
      <c r="E44" s="2"/>
    </row>
    <row r="45" customFormat="false" ht="15" hidden="false" customHeight="false" outlineLevel="0" collapsed="false">
      <c r="A45" s="34" t="s">
        <v>154</v>
      </c>
      <c r="B45" s="36" t="n">
        <f aca="false">B25</f>
        <v>1039.2</v>
      </c>
      <c r="C45" s="36" t="n">
        <f aca="false">C25</f>
        <v>1039.2</v>
      </c>
      <c r="D45" s="36" t="n">
        <f aca="false">D25</f>
        <v>1039.2</v>
      </c>
      <c r="E45" s="2"/>
    </row>
    <row r="46" customFormat="false" ht="15" hidden="false" customHeight="false" outlineLevel="0" collapsed="false">
      <c r="A46" s="38" t="s">
        <v>156</v>
      </c>
      <c r="B46" s="39" t="n">
        <f aca="false">SUM(B42:B45)</f>
        <v>28813.3485759809</v>
      </c>
      <c r="C46" s="39" t="n">
        <f aca="false">SUM(C42:C45)</f>
        <v>23479.0247361083</v>
      </c>
      <c r="D46" s="39" t="n">
        <f aca="false">SUM(D42:D45)</f>
        <v>20331.9952599084</v>
      </c>
      <c r="E46" s="2"/>
    </row>
    <row r="47" customFormat="false" ht="15" hidden="false" customHeight="false" outlineLevel="0" collapsed="false">
      <c r="A47" s="38" t="s">
        <v>157</v>
      </c>
      <c r="B47" s="39" t="n">
        <f aca="false">B41-B46</f>
        <v>7595.65361481777</v>
      </c>
      <c r="C47" s="39" t="n">
        <f aca="false">C41-C46</f>
        <v>39623.6241386178</v>
      </c>
      <c r="D47" s="39" t="n">
        <f aca="false">D41-D46</f>
        <v>60491.7450308703</v>
      </c>
      <c r="E47" s="2"/>
    </row>
    <row r="48" customFormat="false" ht="15" hidden="false" customHeight="false" outlineLevel="0" collapsed="false">
      <c r="A48" s="38" t="s">
        <v>159</v>
      </c>
      <c r="B48" s="39" t="n">
        <f aca="false">B47*12</f>
        <v>91147.8433778132</v>
      </c>
      <c r="C48" s="39" t="n">
        <f aca="false">C47*12</f>
        <v>475483.489663414</v>
      </c>
      <c r="D48" s="39" t="n">
        <f aca="false">D47*12</f>
        <v>725900.940370444</v>
      </c>
      <c r="E48" s="2"/>
    </row>
    <row r="49" customFormat="false" ht="15" hidden="false" customHeight="false" outlineLevel="0" collapsed="false">
      <c r="A49" s="34" t="s">
        <v>182</v>
      </c>
      <c r="B49" s="36" t="n">
        <f aca="false">Inputs!B29+Inputs!B30</f>
        <v>270000</v>
      </c>
      <c r="C49" s="36" t="n">
        <f aca="false">Inputs!C29+Inputs!C30</f>
        <v>200000</v>
      </c>
      <c r="D49" s="36" t="n">
        <f aca="false">Inputs!D29+Inputs!D30</f>
        <v>150000</v>
      </c>
      <c r="E49" s="2"/>
    </row>
    <row r="50" customFormat="false" ht="15" hidden="false" customHeight="false" outlineLevel="0" collapsed="false">
      <c r="A50" s="34" t="s">
        <v>161</v>
      </c>
      <c r="B50" s="40" t="n">
        <f aca="false">IF(B47&gt;0,B49/B47,"No payback")</f>
        <v>35.5466446591611</v>
      </c>
      <c r="C50" s="40" t="n">
        <f aca="false">IF(C47&gt;0,C49/C47,"No payback")</f>
        <v>5.04749387134119</v>
      </c>
      <c r="D50" s="40" t="n">
        <f aca="false">IF(D47&gt;0,D49/D47,"No payback")</f>
        <v>2.47967718443982</v>
      </c>
      <c r="E50" s="2"/>
    </row>
    <row r="51" customFormat="false" ht="15" hidden="false" customHeight="false" outlineLevel="0" collapsed="false">
      <c r="A51" s="34" t="s">
        <v>163</v>
      </c>
      <c r="B51" s="36" t="n">
        <f aca="false">B47*Inputs!$B$13-B49</f>
        <v>3443.53013343958</v>
      </c>
      <c r="C51" s="36" t="n">
        <f aca="false">C47*Inputs!$B$13-C49</f>
        <v>1226450.46899024</v>
      </c>
      <c r="D51" s="36" t="n">
        <f aca="false">D47*Inputs!$B$13-D49</f>
        <v>2027702.82111133</v>
      </c>
      <c r="E51" s="2"/>
    </row>
    <row r="52" customFormat="false" ht="15" hidden="false" customHeight="false" outlineLevel="0" collapsed="false">
      <c r="A52" s="34" t="s">
        <v>165</v>
      </c>
      <c r="B52" s="37" t="n">
        <f aca="false">IF(B49&gt;0,B51/B49,0)</f>
        <v>0.0127538153090355</v>
      </c>
      <c r="C52" s="37" t="n">
        <f aca="false">IF(C49&gt;0,C51/C49,0)</f>
        <v>6.1322523449512</v>
      </c>
      <c r="D52" s="37" t="n">
        <f aca="false">IF(D49&gt;0,D51/D49,0)</f>
        <v>13.5180188074089</v>
      </c>
      <c r="E52" s="2"/>
    </row>
    <row r="53" customFormat="false" ht="15" hidden="false" customHeight="false" outlineLevel="0" collapsed="false">
      <c r="A53" s="34" t="s">
        <v>167</v>
      </c>
      <c r="B53" s="41" t="n">
        <f aca="false">IF(Inputs!$B$9&gt;0,B40/Inputs!$B$9,0)</f>
        <v>8.12700941758898</v>
      </c>
      <c r="C53" s="41" t="n">
        <f aca="false">IF(Inputs!$B$9&gt;0,C40/Inputs!$B$9,0)</f>
        <v>14.0854126952514</v>
      </c>
      <c r="D53" s="41" t="n">
        <f aca="false">IF(Inputs!$B$9&gt;0,D40/Inputs!$B$9,0)</f>
        <v>18.0410134577631</v>
      </c>
      <c r="E53" s="2"/>
    </row>
    <row r="54" customFormat="false" ht="15" hidden="false" customHeight="false" outlineLevel="0" collapsed="false">
      <c r="A54" s="34" t="s">
        <v>183</v>
      </c>
      <c r="B54" s="37" t="n">
        <f aca="false">IF(B7&gt;0,B40/B7,0)</f>
        <v>0.284445329615614</v>
      </c>
      <c r="C54" s="37" t="n">
        <f aca="false">IF(C7&gt;0,C40/C7,0)</f>
        <v>0.492989444333798</v>
      </c>
      <c r="D54" s="37" t="n">
        <f aca="false">IF(D7&gt;0,D40/D7,0)</f>
        <v>0.631435471021709</v>
      </c>
      <c r="E54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3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27" t="s">
        <v>187</v>
      </c>
    </row>
    <row r="5" customFormat="false" ht="15" hidden="false" customHeight="false" outlineLevel="0" collapsed="false">
      <c r="A5" s="43" t="s">
        <v>188</v>
      </c>
      <c r="B5" s="44" t="n">
        <v>0.25</v>
      </c>
      <c r="C5" s="44" t="n">
        <v>0.35</v>
      </c>
      <c r="D5" s="45" t="n">
        <f aca="false">Inputs!$B$16+Inputs!$B$17</f>
        <v>0.434773949412468</v>
      </c>
      <c r="E5" s="44" t="n">
        <v>0.55</v>
      </c>
      <c r="F5" s="44" t="n">
        <v>0.65</v>
      </c>
    </row>
    <row r="6" customFormat="false" ht="15" hidden="false" customHeight="false" outlineLevel="0" collapsed="false">
      <c r="A6" s="46" t="n">
        <v>0.3</v>
      </c>
      <c r="B6" s="36" t="n">
        <f aca="false">$A6*(Inputs!$B$5*B$5)*(Inputs!$B$6/60*Inputs!$B$7-Inputs!$C$27)-(Inputs!$B$5*Inputs!$C$26+Inputs!$C$28+Model!$C$25)</f>
        <v>833.299999999999</v>
      </c>
      <c r="C6" s="36" t="n">
        <f aca="false">$A6*(Inputs!$B$5*C$5)*(Inputs!$B$6/60*Inputs!$B$7-Inputs!$C$27)-(Inputs!$B$5*Inputs!$C$26+Inputs!$C$28+Model!$C$25)</f>
        <v>3782.3</v>
      </c>
      <c r="D6" s="36" t="n">
        <f aca="false">$A6*(Inputs!$B$5*D$5)*(Inputs!$B$6/60*Inputs!$B$7-Inputs!$C$27)-(Inputs!$B$5*Inputs!$C$26+Inputs!$C$28+Model!$C$25)</f>
        <v>6282.28376817367</v>
      </c>
      <c r="E6" s="36" t="n">
        <f aca="false">$A6*(Inputs!$B$5*E$5)*(Inputs!$B$6/60*Inputs!$B$7-Inputs!$C$27)-(Inputs!$B$5*Inputs!$C$26+Inputs!$C$28+Model!$C$25)</f>
        <v>9680.3</v>
      </c>
      <c r="F6" s="36" t="n">
        <f aca="false">$A6*(Inputs!$B$5*F$5)*(Inputs!$B$6/60*Inputs!$B$7-Inputs!$C$27)-(Inputs!$B$5*Inputs!$C$26+Inputs!$C$28+Model!$C$25)</f>
        <v>12629.3</v>
      </c>
    </row>
    <row r="7" customFormat="false" ht="15" hidden="false" customHeight="false" outlineLevel="0" collapsed="false">
      <c r="A7" s="46" t="n">
        <v>0.4</v>
      </c>
      <c r="B7" s="36" t="n">
        <f aca="false">$A7*(Inputs!$B$5*B$5)*(Inputs!$B$6/60*Inputs!$B$7-Inputs!$C$27)-(Inputs!$B$5*Inputs!$C$26+Inputs!$C$28+Model!$C$25)</f>
        <v>3290.8</v>
      </c>
      <c r="C7" s="36" t="n">
        <f aca="false">$A7*(Inputs!$B$5*C$5)*(Inputs!$B$6/60*Inputs!$B$7-Inputs!$C$27)-(Inputs!$B$5*Inputs!$C$26+Inputs!$C$28+Model!$C$25)</f>
        <v>7222.8</v>
      </c>
      <c r="D7" s="36" t="n">
        <f aca="false">$A7*(Inputs!$B$5*D$5)*(Inputs!$B$6/60*Inputs!$B$7-Inputs!$C$27)-(Inputs!$B$5*Inputs!$C$26+Inputs!$C$28+Model!$C$25)</f>
        <v>10556.1116908982</v>
      </c>
      <c r="E7" s="36" t="n">
        <f aca="false">$A7*(Inputs!$B$5*E$5)*(Inputs!$B$6/60*Inputs!$B$7-Inputs!$C$27)-(Inputs!$B$5*Inputs!$C$26+Inputs!$C$28+Model!$C$25)</f>
        <v>15086.8</v>
      </c>
      <c r="F7" s="36" t="n">
        <f aca="false">$A7*(Inputs!$B$5*F$5)*(Inputs!$B$6/60*Inputs!$B$7-Inputs!$C$27)-(Inputs!$B$5*Inputs!$C$26+Inputs!$C$28+Model!$C$25)</f>
        <v>19018.8</v>
      </c>
    </row>
    <row r="8" customFormat="false" ht="15" hidden="false" customHeight="false" outlineLevel="0" collapsed="false">
      <c r="A8" s="46" t="n">
        <v>0.5</v>
      </c>
      <c r="B8" s="36" t="n">
        <f aca="false">$A8*(Inputs!$B$5*B$5)*(Inputs!$B$6/60*Inputs!$B$7-Inputs!$C$27)-(Inputs!$B$5*Inputs!$C$26+Inputs!$C$28+Model!$C$25)</f>
        <v>5748.3</v>
      </c>
      <c r="C8" s="36" t="n">
        <f aca="false">$A8*(Inputs!$B$5*C$5)*(Inputs!$B$6/60*Inputs!$B$7-Inputs!$C$27)-(Inputs!$B$5*Inputs!$C$26+Inputs!$C$28+Model!$C$25)</f>
        <v>10663.3</v>
      </c>
      <c r="D8" s="36" t="n">
        <f aca="false">$A8*(Inputs!$B$5*D$5)*(Inputs!$B$6/60*Inputs!$B$7-Inputs!$C$27)-(Inputs!$B$5*Inputs!$C$26+Inputs!$C$28+Model!$C$25)</f>
        <v>14829.9396136228</v>
      </c>
      <c r="E8" s="36" t="n">
        <f aca="false">$A8*(Inputs!$B$5*E$5)*(Inputs!$B$6/60*Inputs!$B$7-Inputs!$C$27)-(Inputs!$B$5*Inputs!$C$26+Inputs!$C$28+Model!$C$25)</f>
        <v>20493.3</v>
      </c>
      <c r="F8" s="36" t="n">
        <f aca="false">$A8*(Inputs!$B$5*F$5)*(Inputs!$B$6/60*Inputs!$B$7-Inputs!$C$27)-(Inputs!$B$5*Inputs!$C$26+Inputs!$C$28+Model!$C$25)</f>
        <v>25408.3</v>
      </c>
    </row>
    <row r="9" customFormat="false" ht="15" hidden="false" customHeight="false" outlineLevel="0" collapsed="false">
      <c r="A9" s="46" t="n">
        <v>0.6</v>
      </c>
      <c r="B9" s="36" t="n">
        <f aca="false">$A9*(Inputs!$B$5*B$5)*(Inputs!$B$6/60*Inputs!$B$7-Inputs!$C$27)-(Inputs!$B$5*Inputs!$C$26+Inputs!$C$28+Model!$C$25)</f>
        <v>8205.8</v>
      </c>
      <c r="C9" s="36" t="n">
        <f aca="false">$A9*(Inputs!$B$5*C$5)*(Inputs!$B$6/60*Inputs!$B$7-Inputs!$C$27)-(Inputs!$B$5*Inputs!$C$26+Inputs!$C$28+Model!$C$25)</f>
        <v>14103.8</v>
      </c>
      <c r="D9" s="36" t="n">
        <f aca="false">$A9*(Inputs!$B$5*D$5)*(Inputs!$B$6/60*Inputs!$B$7-Inputs!$C$27)-(Inputs!$B$5*Inputs!$C$26+Inputs!$C$28+Model!$C$25)</f>
        <v>19103.7675363473</v>
      </c>
      <c r="E9" s="36" t="n">
        <f aca="false">$A9*(Inputs!$B$5*E$5)*(Inputs!$B$6/60*Inputs!$B$7-Inputs!$C$27)-(Inputs!$B$5*Inputs!$C$26+Inputs!$C$28+Model!$C$25)</f>
        <v>25899.8</v>
      </c>
      <c r="F9" s="36" t="n">
        <f aca="false">$A9*(Inputs!$B$5*F$5)*(Inputs!$B$6/60*Inputs!$B$7-Inputs!$C$27)-(Inputs!$B$5*Inputs!$C$26+Inputs!$C$28+Model!$C$25)</f>
        <v>31797.8</v>
      </c>
    </row>
    <row r="10" customFormat="false" ht="15" hidden="false" customHeight="false" outlineLevel="0" collapsed="false">
      <c r="A10" s="46" t="n">
        <v>0.7</v>
      </c>
      <c r="B10" s="36" t="n">
        <f aca="false">$A10*(Inputs!$B$5*B$5)*(Inputs!$B$6/60*Inputs!$B$7-Inputs!$C$27)-(Inputs!$B$5*Inputs!$C$26+Inputs!$C$28+Model!$C$25)</f>
        <v>10663.3</v>
      </c>
      <c r="C10" s="36" t="n">
        <f aca="false">$A10*(Inputs!$B$5*C$5)*(Inputs!$B$6/60*Inputs!$B$7-Inputs!$C$27)-(Inputs!$B$5*Inputs!$C$26+Inputs!$C$28+Model!$C$25)</f>
        <v>17544.3</v>
      </c>
      <c r="D10" s="36" t="n">
        <f aca="false">$A10*(Inputs!$B$5*D$5)*(Inputs!$B$6/60*Inputs!$B$7-Inputs!$C$27)-(Inputs!$B$5*Inputs!$C$26+Inputs!$C$28+Model!$C$25)</f>
        <v>23377.5954590719</v>
      </c>
      <c r="E10" s="36" t="n">
        <f aca="false">$A10*(Inputs!$B$5*E$5)*(Inputs!$B$6/60*Inputs!$B$7-Inputs!$C$27)-(Inputs!$B$5*Inputs!$C$26+Inputs!$C$28+Model!$C$25)</f>
        <v>31306.3</v>
      </c>
      <c r="F10" s="36" t="n">
        <f aca="false">$A10*(Inputs!$B$5*F$5)*(Inputs!$B$6/60*Inputs!$B$7-Inputs!$C$27)-(Inputs!$B$5*Inputs!$C$26+Inputs!$C$28+Model!$C$25)</f>
        <v>38187.3</v>
      </c>
    </row>
    <row r="11" customFormat="false" ht="15" hidden="false" customHeight="false" outlineLevel="0" collapsed="false">
      <c r="A11" s="46" t="n">
        <v>0.8</v>
      </c>
      <c r="B11" s="36" t="n">
        <f aca="false">$A11*(Inputs!$B$5*B$5)*(Inputs!$B$6/60*Inputs!$B$7-Inputs!$C$27)-(Inputs!$B$5*Inputs!$C$26+Inputs!$C$28+Model!$C$25)</f>
        <v>13120.8</v>
      </c>
      <c r="C11" s="36" t="n">
        <f aca="false">$A11*(Inputs!$B$5*C$5)*(Inputs!$B$6/60*Inputs!$B$7-Inputs!$C$27)-(Inputs!$B$5*Inputs!$C$26+Inputs!$C$28+Model!$C$25)</f>
        <v>20984.8</v>
      </c>
      <c r="D11" s="36" t="n">
        <f aca="false">$A11*(Inputs!$B$5*D$5)*(Inputs!$B$6/60*Inputs!$B$7-Inputs!$C$27)-(Inputs!$B$5*Inputs!$C$26+Inputs!$C$28+Model!$C$25)</f>
        <v>27651.4233817965</v>
      </c>
      <c r="E11" s="36" t="n">
        <f aca="false">$A11*(Inputs!$B$5*E$5)*(Inputs!$B$6/60*Inputs!$B$7-Inputs!$C$27)-(Inputs!$B$5*Inputs!$C$26+Inputs!$C$28+Model!$C$25)</f>
        <v>36712.8</v>
      </c>
      <c r="F11" s="36" t="n">
        <f aca="false">$A11*(Inputs!$B$5*F$5)*(Inputs!$B$6/60*Inputs!$B$7-Inputs!$C$27)-(Inputs!$B$5*Inputs!$C$26+Inputs!$C$28+Model!$C$25)</f>
        <v>44576.8</v>
      </c>
    </row>
    <row r="12" customFormat="false" ht="15" hidden="false" customHeight="false" outlineLevel="0" collapsed="false">
      <c r="A12" s="46" t="n">
        <v>0.9</v>
      </c>
      <c r="B12" s="36" t="n">
        <f aca="false">$A12*(Inputs!$B$5*B$5)*(Inputs!$B$6/60*Inputs!$B$7-Inputs!$C$27)-(Inputs!$B$5*Inputs!$C$26+Inputs!$C$28+Model!$C$25)</f>
        <v>15578.3</v>
      </c>
      <c r="C12" s="36" t="n">
        <f aca="false">$A12*(Inputs!$B$5*C$5)*(Inputs!$B$6/60*Inputs!$B$7-Inputs!$C$27)-(Inputs!$B$5*Inputs!$C$26+Inputs!$C$28+Model!$C$25)</f>
        <v>24425.3</v>
      </c>
      <c r="D12" s="36" t="n">
        <f aca="false">$A12*(Inputs!$B$5*D$5)*(Inputs!$B$6/60*Inputs!$B$7-Inputs!$C$27)-(Inputs!$B$5*Inputs!$C$26+Inputs!$C$28+Model!$C$25)</f>
        <v>31925.251304521</v>
      </c>
      <c r="E12" s="36" t="n">
        <f aca="false">$A12*(Inputs!$B$5*E$5)*(Inputs!$B$6/60*Inputs!$B$7-Inputs!$C$27)-(Inputs!$B$5*Inputs!$C$26+Inputs!$C$28+Model!$C$25)</f>
        <v>42119.3</v>
      </c>
      <c r="F12" s="36" t="n">
        <f aca="false">$A12*(Inputs!$B$5*F$5)*(Inputs!$B$6/60*Inputs!$B$7-Inputs!$C$27)-(Inputs!$B$5*Inputs!$C$26+Inputs!$C$28+Model!$C$25)</f>
        <v>50966.3</v>
      </c>
    </row>
    <row r="14" customFormat="false" ht="15" hidden="false" customHeight="false" outlineLevel="0" collapsed="false">
      <c r="A14" s="2" t="s">
        <v>189</v>
      </c>
    </row>
    <row r="16" customFormat="false" ht="15" hidden="false" customHeight="false" outlineLevel="0" collapsed="false">
      <c r="A16" s="27" t="s">
        <v>190</v>
      </c>
    </row>
    <row r="17" customFormat="false" ht="15" hidden="false" customHeight="false" outlineLevel="0" collapsed="false">
      <c r="A17" s="43" t="s">
        <v>191</v>
      </c>
      <c r="B17" s="47" t="n">
        <v>0.5</v>
      </c>
      <c r="C17" s="47" t="n">
        <v>0.75</v>
      </c>
      <c r="D17" s="47" t="n">
        <v>0.99</v>
      </c>
      <c r="E17" s="47" t="n">
        <v>1.25</v>
      </c>
      <c r="F17" s="47" t="n">
        <v>1.5</v>
      </c>
    </row>
    <row r="18" customFormat="false" ht="15" hidden="false" customHeight="false" outlineLevel="0" collapsed="false">
      <c r="A18" s="46" t="n">
        <v>0.3</v>
      </c>
      <c r="B18" s="36" t="n">
        <f aca="false">$A18*(Inputs!$B$5*(Inputs!$B$16+Inputs!$B$17))*(Inputs!$B$6/60*Inputs!$B$7-B$17)-(Inputs!$B$5*Inputs!$C$26+Inputs!$C$28+Model!$C$25)</f>
        <v>8199.63688508265</v>
      </c>
      <c r="C18" s="36" t="n">
        <f aca="false">$A18*(Inputs!$B$5*(Inputs!$B$16+Inputs!$B$17))*(Inputs!$B$6/60*Inputs!$B$7-C$17)-(Inputs!$B$5*Inputs!$C$26+Inputs!$C$28+Model!$C$25)</f>
        <v>7221.3954989046</v>
      </c>
      <c r="D18" s="36" t="n">
        <f aca="false">$A18*(Inputs!$B$5*(Inputs!$B$16+Inputs!$B$17))*(Inputs!$B$6/60*Inputs!$B$7-D$17)-(Inputs!$B$5*Inputs!$C$26+Inputs!$C$28+Model!$C$25)</f>
        <v>6282.28376817367</v>
      </c>
      <c r="E18" s="36" t="n">
        <f aca="false">$A18*(Inputs!$B$5*(Inputs!$B$16+Inputs!$B$17))*(Inputs!$B$6/60*Inputs!$B$7-E$17)-(Inputs!$B$5*Inputs!$C$26+Inputs!$C$28+Model!$C$25)</f>
        <v>5264.91272654849</v>
      </c>
      <c r="F18" s="36" t="n">
        <f aca="false">$A18*(Inputs!$B$5*(Inputs!$B$16+Inputs!$B$17))*(Inputs!$B$6/60*Inputs!$B$7-F$17)-(Inputs!$B$5*Inputs!$C$26+Inputs!$C$28+Model!$C$25)</f>
        <v>4286.67134037044</v>
      </c>
    </row>
    <row r="19" customFormat="false" ht="15" hidden="false" customHeight="false" outlineLevel="0" collapsed="false">
      <c r="A19" s="46" t="n">
        <v>0.4</v>
      </c>
      <c r="B19" s="36" t="n">
        <f aca="false">$A19*(Inputs!$B$5*(Inputs!$B$16+Inputs!$B$17))*(Inputs!$B$6/60*Inputs!$B$7-B$17)-(Inputs!$B$5*Inputs!$C$26+Inputs!$C$28+Model!$C$25)</f>
        <v>13112.5825134435</v>
      </c>
      <c r="C19" s="36" t="n">
        <f aca="false">$A19*(Inputs!$B$5*(Inputs!$B$16+Inputs!$B$17))*(Inputs!$B$6/60*Inputs!$B$7-C$17)-(Inputs!$B$5*Inputs!$C$26+Inputs!$C$28+Model!$C$25)</f>
        <v>11808.2606652061</v>
      </c>
      <c r="D19" s="36" t="n">
        <f aca="false">$A19*(Inputs!$B$5*(Inputs!$B$16+Inputs!$B$17))*(Inputs!$B$6/60*Inputs!$B$7-D$17)-(Inputs!$B$5*Inputs!$C$26+Inputs!$C$28+Model!$C$25)</f>
        <v>10556.1116908982</v>
      </c>
      <c r="E19" s="36" t="n">
        <f aca="false">$A19*(Inputs!$B$5*(Inputs!$B$16+Inputs!$B$17))*(Inputs!$B$6/60*Inputs!$B$7-E$17)-(Inputs!$B$5*Inputs!$C$26+Inputs!$C$28+Model!$C$25)</f>
        <v>9199.61696873133</v>
      </c>
      <c r="F19" s="36" t="n">
        <f aca="false">$A19*(Inputs!$B$5*(Inputs!$B$16+Inputs!$B$17))*(Inputs!$B$6/60*Inputs!$B$7-F$17)-(Inputs!$B$5*Inputs!$C$26+Inputs!$C$28+Model!$C$25)</f>
        <v>7895.29512049393</v>
      </c>
    </row>
    <row r="20" customFormat="false" ht="15" hidden="false" customHeight="false" outlineLevel="0" collapsed="false">
      <c r="A20" s="46" t="n">
        <v>0.5</v>
      </c>
      <c r="B20" s="36" t="n">
        <f aca="false">$A20*(Inputs!$B$5*(Inputs!$B$16+Inputs!$B$17))*(Inputs!$B$6/60*Inputs!$B$7-B$17)-(Inputs!$B$5*Inputs!$C$26+Inputs!$C$28+Model!$C$25)</f>
        <v>18025.5281418044</v>
      </c>
      <c r="C20" s="36" t="n">
        <f aca="false">$A20*(Inputs!$B$5*(Inputs!$B$16+Inputs!$B$17))*(Inputs!$B$6/60*Inputs!$B$7-C$17)-(Inputs!$B$5*Inputs!$C$26+Inputs!$C$28+Model!$C$25)</f>
        <v>16395.1258315077</v>
      </c>
      <c r="D20" s="36" t="n">
        <f aca="false">$A20*(Inputs!$B$5*(Inputs!$B$16+Inputs!$B$17))*(Inputs!$B$6/60*Inputs!$B$7-D$17)-(Inputs!$B$5*Inputs!$C$26+Inputs!$C$28+Model!$C$25)</f>
        <v>14829.9396136228</v>
      </c>
      <c r="E20" s="36" t="n">
        <f aca="false">$A20*(Inputs!$B$5*(Inputs!$B$16+Inputs!$B$17))*(Inputs!$B$6/60*Inputs!$B$7-E$17)-(Inputs!$B$5*Inputs!$C$26+Inputs!$C$28+Model!$C$25)</f>
        <v>13134.3212109142</v>
      </c>
      <c r="F20" s="36" t="n">
        <f aca="false">$A20*(Inputs!$B$5*(Inputs!$B$16+Inputs!$B$17))*(Inputs!$B$6/60*Inputs!$B$7-F$17)-(Inputs!$B$5*Inputs!$C$26+Inputs!$C$28+Model!$C$25)</f>
        <v>11503.9189006174</v>
      </c>
    </row>
    <row r="21" customFormat="false" ht="15" hidden="false" customHeight="false" outlineLevel="0" collapsed="false">
      <c r="A21" s="46" t="n">
        <v>0.6</v>
      </c>
      <c r="B21" s="36" t="n">
        <f aca="false">$A21*(Inputs!$B$5*(Inputs!$B$16+Inputs!$B$17))*(Inputs!$B$6/60*Inputs!$B$7-B$17)-(Inputs!$B$5*Inputs!$C$26+Inputs!$C$28+Model!$C$25)</f>
        <v>22938.4737701653</v>
      </c>
      <c r="C21" s="36" t="n">
        <f aca="false">$A21*(Inputs!$B$5*(Inputs!$B$16+Inputs!$B$17))*(Inputs!$B$6/60*Inputs!$B$7-C$17)-(Inputs!$B$5*Inputs!$C$26+Inputs!$C$28+Model!$C$25)</f>
        <v>20981.9909978092</v>
      </c>
      <c r="D21" s="36" t="n">
        <f aca="false">$A21*(Inputs!$B$5*(Inputs!$B$16+Inputs!$B$17))*(Inputs!$B$6/60*Inputs!$B$7-D$17)-(Inputs!$B$5*Inputs!$C$26+Inputs!$C$28+Model!$C$25)</f>
        <v>19103.7675363473</v>
      </c>
      <c r="E21" s="36" t="n">
        <f aca="false">$A21*(Inputs!$B$5*(Inputs!$B$16+Inputs!$B$17))*(Inputs!$B$6/60*Inputs!$B$7-E$17)-(Inputs!$B$5*Inputs!$C$26+Inputs!$C$28+Model!$C$25)</f>
        <v>17069.025453097</v>
      </c>
      <c r="F21" s="36" t="n">
        <f aca="false">$A21*(Inputs!$B$5*(Inputs!$B$16+Inputs!$B$17))*(Inputs!$B$6/60*Inputs!$B$7-F$17)-(Inputs!$B$5*Inputs!$C$26+Inputs!$C$28+Model!$C$25)</f>
        <v>15112.5426807409</v>
      </c>
    </row>
    <row r="22" customFormat="false" ht="15" hidden="false" customHeight="false" outlineLevel="0" collapsed="false">
      <c r="A22" s="46" t="n">
        <v>0.7</v>
      </c>
      <c r="B22" s="36" t="n">
        <f aca="false">$A22*(Inputs!$B$5*(Inputs!$B$16+Inputs!$B$17))*(Inputs!$B$6/60*Inputs!$B$7-B$17)-(Inputs!$B$5*Inputs!$C$26+Inputs!$C$28+Model!$C$25)</f>
        <v>27851.4193985262</v>
      </c>
      <c r="C22" s="36" t="n">
        <f aca="false">$A22*(Inputs!$B$5*(Inputs!$B$16+Inputs!$B$17))*(Inputs!$B$6/60*Inputs!$B$7-C$17)-(Inputs!$B$5*Inputs!$C$26+Inputs!$C$28+Model!$C$25)</f>
        <v>25568.8561641107</v>
      </c>
      <c r="D22" s="36" t="n">
        <f aca="false">$A22*(Inputs!$B$5*(Inputs!$B$16+Inputs!$B$17))*(Inputs!$B$6/60*Inputs!$B$7-D$17)-(Inputs!$B$5*Inputs!$C$26+Inputs!$C$28+Model!$C$25)</f>
        <v>23377.5954590719</v>
      </c>
      <c r="E22" s="36" t="n">
        <f aca="false">$A22*(Inputs!$B$5*(Inputs!$B$16+Inputs!$B$17))*(Inputs!$B$6/60*Inputs!$B$7-E$17)-(Inputs!$B$5*Inputs!$C$26+Inputs!$C$28+Model!$C$25)</f>
        <v>21003.7296952798</v>
      </c>
      <c r="F22" s="36" t="n">
        <f aca="false">$A22*(Inputs!$B$5*(Inputs!$B$16+Inputs!$B$17))*(Inputs!$B$6/60*Inputs!$B$7-F$17)-(Inputs!$B$5*Inputs!$C$26+Inputs!$C$28+Model!$C$25)</f>
        <v>18721.1664608644</v>
      </c>
    </row>
    <row r="23" customFormat="false" ht="15" hidden="false" customHeight="false" outlineLevel="0" collapsed="false">
      <c r="A23" s="46" t="n">
        <v>0.8</v>
      </c>
      <c r="B23" s="36" t="n">
        <f aca="false">$A23*(Inputs!$B$5*(Inputs!$B$16+Inputs!$B$17))*(Inputs!$B$6/60*Inputs!$B$7-B$17)-(Inputs!$B$5*Inputs!$C$26+Inputs!$C$28+Model!$C$25)</f>
        <v>32764.3650268871</v>
      </c>
      <c r="C23" s="36" t="n">
        <f aca="false">$A23*(Inputs!$B$5*(Inputs!$B$16+Inputs!$B$17))*(Inputs!$B$6/60*Inputs!$B$7-C$17)-(Inputs!$B$5*Inputs!$C$26+Inputs!$C$28+Model!$C$25)</f>
        <v>30155.7213304123</v>
      </c>
      <c r="D23" s="36" t="n">
        <f aca="false">$A23*(Inputs!$B$5*(Inputs!$B$16+Inputs!$B$17))*(Inputs!$B$6/60*Inputs!$B$7-D$17)-(Inputs!$B$5*Inputs!$C$26+Inputs!$C$28+Model!$C$25)</f>
        <v>27651.4233817965</v>
      </c>
      <c r="E23" s="36" t="n">
        <f aca="false">$A23*(Inputs!$B$5*(Inputs!$B$16+Inputs!$B$17))*(Inputs!$B$6/60*Inputs!$B$7-E$17)-(Inputs!$B$5*Inputs!$C$26+Inputs!$C$28+Model!$C$25)</f>
        <v>24938.4339374627</v>
      </c>
      <c r="F23" s="36" t="n">
        <f aca="false">$A23*(Inputs!$B$5*(Inputs!$B$16+Inputs!$B$17))*(Inputs!$B$6/60*Inputs!$B$7-F$17)-(Inputs!$B$5*Inputs!$C$26+Inputs!$C$28+Model!$C$25)</f>
        <v>22329.7902409879</v>
      </c>
    </row>
    <row r="24" customFormat="false" ht="15" hidden="false" customHeight="false" outlineLevel="0" collapsed="false">
      <c r="A24" s="46" t="n">
        <v>0.9</v>
      </c>
      <c r="B24" s="36" t="n">
        <f aca="false">$A24*(Inputs!$B$5*(Inputs!$B$16+Inputs!$B$17))*(Inputs!$B$6/60*Inputs!$B$7-B$17)-(Inputs!$B$5*Inputs!$C$26+Inputs!$C$28+Model!$C$25)</f>
        <v>37677.310655248</v>
      </c>
      <c r="C24" s="36" t="n">
        <f aca="false">$A24*(Inputs!$B$5*(Inputs!$B$16+Inputs!$B$17))*(Inputs!$B$6/60*Inputs!$B$7-C$17)-(Inputs!$B$5*Inputs!$C$26+Inputs!$C$28+Model!$C$25)</f>
        <v>34742.5864967138</v>
      </c>
      <c r="D24" s="36" t="n">
        <f aca="false">$A24*(Inputs!$B$5*(Inputs!$B$16+Inputs!$B$17))*(Inputs!$B$6/60*Inputs!$B$7-D$17)-(Inputs!$B$5*Inputs!$C$26+Inputs!$C$28+Model!$C$25)</f>
        <v>31925.251304521</v>
      </c>
      <c r="E24" s="36" t="n">
        <f aca="false">$A24*(Inputs!$B$5*(Inputs!$B$16+Inputs!$B$17))*(Inputs!$B$6/60*Inputs!$B$7-E$17)-(Inputs!$B$5*Inputs!$C$26+Inputs!$C$28+Model!$C$25)</f>
        <v>28873.1381796455</v>
      </c>
      <c r="F24" s="36" t="n">
        <f aca="false">$A24*(Inputs!$B$5*(Inputs!$B$16+Inputs!$B$17))*(Inputs!$B$6/60*Inputs!$B$7-F$17)-(Inputs!$B$5*Inputs!$C$26+Inputs!$C$28+Model!$C$25)</f>
        <v>25938.4140211113</v>
      </c>
    </row>
    <row r="26" customFormat="false" ht="15" hidden="false" customHeight="true" outlineLevel="0" collapsed="false">
      <c r="A26" s="48" t="s">
        <v>192</v>
      </c>
      <c r="B26" s="48"/>
      <c r="C26" s="48"/>
      <c r="D26" s="48"/>
      <c r="E26" s="48"/>
      <c r="F26" s="48"/>
    </row>
    <row r="27" customFormat="false" ht="15" hidden="false" customHeight="false" outlineLevel="0" collapsed="false">
      <c r="A27" s="48"/>
      <c r="B27" s="48"/>
      <c r="C27" s="48"/>
      <c r="D27" s="48"/>
      <c r="E27" s="48"/>
      <c r="F27" s="48"/>
    </row>
    <row r="28" customFormat="false" ht="15" hidden="false" customHeight="false" outlineLevel="0" collapsed="false">
      <c r="A28" s="48"/>
      <c r="B28" s="48"/>
      <c r="C28" s="48"/>
      <c r="D28" s="48"/>
      <c r="E28" s="48"/>
      <c r="F28" s="48"/>
    </row>
  </sheetData>
  <mergeCells count="1">
    <mergeCell ref="A26:F28"/>
  </mergeCells>
  <conditionalFormatting sqref="B6:F12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18:F24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193</v>
      </c>
    </row>
    <row r="3" customFormat="false" ht="15" hidden="false" customHeight="false" outlineLevel="0" collapsed="false">
      <c r="A3" s="10" t="s">
        <v>194</v>
      </c>
      <c r="B3" s="10" t="s">
        <v>195</v>
      </c>
      <c r="C3" s="10" t="s">
        <v>196</v>
      </c>
      <c r="D3" s="10" t="s">
        <v>197</v>
      </c>
      <c r="F3" s="10" t="s">
        <v>196</v>
      </c>
      <c r="G3" s="10" t="s">
        <v>197</v>
      </c>
      <c r="H3" s="10" t="s">
        <v>98</v>
      </c>
    </row>
    <row r="4" customFormat="false" ht="15" hidden="false" customHeight="false" outlineLevel="0" collapsed="false">
      <c r="A4" s="34" t="s">
        <v>198</v>
      </c>
      <c r="B4" s="34" t="s">
        <v>199</v>
      </c>
      <c r="C4" s="34" t="s">
        <v>200</v>
      </c>
      <c r="D4" s="23" t="n">
        <v>281</v>
      </c>
      <c r="F4" s="34" t="s">
        <v>200</v>
      </c>
      <c r="G4" s="35" t="n">
        <f aca="false">SUMIF($C$4:$C$58,F4,$D$4:$D$58)</f>
        <v>3165</v>
      </c>
      <c r="H4" s="37" t="n">
        <f aca="false">G4/$G$8</f>
        <v>0.315176259709221</v>
      </c>
    </row>
    <row r="5" customFormat="false" ht="15" hidden="false" customHeight="false" outlineLevel="0" collapsed="false">
      <c r="A5" s="34" t="s">
        <v>201</v>
      </c>
      <c r="B5" s="34" t="s">
        <v>199</v>
      </c>
      <c r="C5" s="34" t="s">
        <v>200</v>
      </c>
      <c r="D5" s="23" t="n">
        <v>281</v>
      </c>
      <c r="F5" s="34" t="s">
        <v>202</v>
      </c>
      <c r="G5" s="35" t="n">
        <f aca="false">SUMIF($C$4:$C$58,F5,$D$4:$D$58)</f>
        <v>1201</v>
      </c>
      <c r="H5" s="37" t="n">
        <f aca="false">G5/$G$8</f>
        <v>0.119597689703246</v>
      </c>
    </row>
    <row r="6" customFormat="false" ht="15" hidden="false" customHeight="false" outlineLevel="0" collapsed="false">
      <c r="A6" s="34" t="s">
        <v>203</v>
      </c>
      <c r="B6" s="34" t="s">
        <v>199</v>
      </c>
      <c r="C6" s="34" t="s">
        <v>200</v>
      </c>
      <c r="D6" s="23" t="n">
        <v>277</v>
      </c>
      <c r="F6" s="34" t="s">
        <v>204</v>
      </c>
      <c r="G6" s="35" t="n">
        <f aca="false">SUMIF($C$4:$C$58,F6,$D$4:$D$58)</f>
        <v>4440</v>
      </c>
      <c r="H6" s="37" t="n">
        <f aca="false">G6/$G$8</f>
        <v>0.442142999402509</v>
      </c>
    </row>
    <row r="7" customFormat="false" ht="15" hidden="false" customHeight="false" outlineLevel="0" collapsed="false">
      <c r="A7" s="34" t="s">
        <v>205</v>
      </c>
      <c r="B7" s="34" t="s">
        <v>199</v>
      </c>
      <c r="C7" s="34" t="s">
        <v>200</v>
      </c>
      <c r="D7" s="23" t="n">
        <v>272</v>
      </c>
      <c r="F7" s="34" t="s">
        <v>206</v>
      </c>
      <c r="G7" s="35" t="n">
        <f aca="false">SUMIF($C$4:$C$58,F7,$D$4:$D$58)</f>
        <v>1236</v>
      </c>
      <c r="H7" s="37" t="n">
        <f aca="false">G7/$G$8</f>
        <v>0.123083051185023</v>
      </c>
    </row>
    <row r="8" customFormat="false" ht="15" hidden="false" customHeight="false" outlineLevel="0" collapsed="false">
      <c r="A8" s="34" t="s">
        <v>207</v>
      </c>
      <c r="B8" s="34" t="s">
        <v>199</v>
      </c>
      <c r="C8" s="34" t="s">
        <v>200</v>
      </c>
      <c r="D8" s="23" t="n">
        <v>264</v>
      </c>
      <c r="F8" s="27" t="s">
        <v>208</v>
      </c>
      <c r="G8" s="49" t="n">
        <f aca="false">SUM(G4:G7)</f>
        <v>10042</v>
      </c>
      <c r="H8" s="28" t="n">
        <f aca="false">SUM(H4:H7)</f>
        <v>1</v>
      </c>
    </row>
    <row r="9" customFormat="false" ht="15" hidden="false" customHeight="false" outlineLevel="0" collapsed="false">
      <c r="A9" s="34" t="s">
        <v>209</v>
      </c>
      <c r="B9" s="34" t="s">
        <v>199</v>
      </c>
      <c r="C9" s="34" t="s">
        <v>200</v>
      </c>
      <c r="D9" s="23" t="n">
        <v>263</v>
      </c>
    </row>
    <row r="10" customFormat="false" ht="15" hidden="false" customHeight="false" outlineLevel="0" collapsed="false">
      <c r="A10" s="34" t="s">
        <v>210</v>
      </c>
      <c r="B10" s="34" t="s">
        <v>199</v>
      </c>
      <c r="C10" s="34" t="s">
        <v>200</v>
      </c>
      <c r="D10" s="23" t="n">
        <v>252</v>
      </c>
    </row>
    <row r="11" customFormat="false" ht="15" hidden="false" customHeight="false" outlineLevel="0" collapsed="false">
      <c r="A11" s="34" t="s">
        <v>211</v>
      </c>
      <c r="B11" s="34" t="s">
        <v>199</v>
      </c>
      <c r="C11" s="34" t="s">
        <v>200</v>
      </c>
      <c r="D11" s="23" t="n">
        <v>249</v>
      </c>
    </row>
    <row r="12" customFormat="false" ht="15" hidden="false" customHeight="false" outlineLevel="0" collapsed="false">
      <c r="A12" s="34" t="s">
        <v>212</v>
      </c>
      <c r="B12" s="34" t="s">
        <v>213</v>
      </c>
      <c r="C12" s="34" t="s">
        <v>200</v>
      </c>
      <c r="D12" s="23" t="n">
        <v>266</v>
      </c>
    </row>
    <row r="13" customFormat="false" ht="15" hidden="false" customHeight="false" outlineLevel="0" collapsed="false">
      <c r="A13" s="34" t="s">
        <v>214</v>
      </c>
      <c r="B13" s="34" t="s">
        <v>213</v>
      </c>
      <c r="C13" s="34" t="s">
        <v>200</v>
      </c>
      <c r="D13" s="23" t="n">
        <v>259</v>
      </c>
    </row>
    <row r="14" customFormat="false" ht="15" hidden="false" customHeight="false" outlineLevel="0" collapsed="false">
      <c r="A14" s="34" t="s">
        <v>215</v>
      </c>
      <c r="B14" s="34" t="s">
        <v>213</v>
      </c>
      <c r="C14" s="34" t="s">
        <v>200</v>
      </c>
      <c r="D14" s="23" t="n">
        <v>251</v>
      </c>
    </row>
    <row r="15" customFormat="false" ht="15" hidden="false" customHeight="false" outlineLevel="0" collapsed="false">
      <c r="A15" s="34" t="s">
        <v>216</v>
      </c>
      <c r="B15" s="34" t="s">
        <v>213</v>
      </c>
      <c r="C15" s="34" t="s">
        <v>200</v>
      </c>
      <c r="D15" s="23" t="n">
        <v>250</v>
      </c>
    </row>
    <row r="16" customFormat="false" ht="15" hidden="false" customHeight="false" outlineLevel="0" collapsed="false">
      <c r="A16" s="34" t="s">
        <v>217</v>
      </c>
      <c r="B16" s="34" t="s">
        <v>218</v>
      </c>
      <c r="C16" s="34" t="s">
        <v>202</v>
      </c>
      <c r="D16" s="23" t="n">
        <v>361</v>
      </c>
    </row>
    <row r="17" customFormat="false" ht="15" hidden="false" customHeight="false" outlineLevel="0" collapsed="false">
      <c r="A17" s="34" t="s">
        <v>219</v>
      </c>
      <c r="B17" s="34" t="s">
        <v>220</v>
      </c>
      <c r="C17" s="34" t="s">
        <v>202</v>
      </c>
      <c r="D17" s="23" t="n">
        <v>179</v>
      </c>
    </row>
    <row r="18" customFormat="false" ht="15" hidden="false" customHeight="false" outlineLevel="0" collapsed="false">
      <c r="A18" s="34" t="s">
        <v>221</v>
      </c>
      <c r="B18" s="34" t="s">
        <v>222</v>
      </c>
      <c r="C18" s="34" t="s">
        <v>202</v>
      </c>
      <c r="D18" s="23" t="n">
        <v>268</v>
      </c>
    </row>
    <row r="19" customFormat="false" ht="15" hidden="false" customHeight="false" outlineLevel="0" collapsed="false">
      <c r="A19" s="34" t="s">
        <v>223</v>
      </c>
      <c r="B19" s="34" t="s">
        <v>224</v>
      </c>
      <c r="C19" s="34" t="s">
        <v>202</v>
      </c>
      <c r="D19" s="23" t="n">
        <v>185</v>
      </c>
    </row>
    <row r="20" customFormat="false" ht="15" hidden="false" customHeight="false" outlineLevel="0" collapsed="false">
      <c r="A20" s="34" t="s">
        <v>225</v>
      </c>
      <c r="B20" s="34" t="s">
        <v>224</v>
      </c>
      <c r="C20" s="34" t="s">
        <v>202</v>
      </c>
      <c r="D20" s="23" t="n">
        <v>178</v>
      </c>
    </row>
    <row r="21" customFormat="false" ht="15" hidden="false" customHeight="false" outlineLevel="0" collapsed="false">
      <c r="A21" s="34" t="s">
        <v>226</v>
      </c>
      <c r="B21" s="34" t="s">
        <v>224</v>
      </c>
      <c r="C21" s="34" t="s">
        <v>202</v>
      </c>
      <c r="D21" s="23" t="n">
        <v>30</v>
      </c>
    </row>
    <row r="22" customFormat="false" ht="15" hidden="false" customHeight="false" outlineLevel="0" collapsed="false">
      <c r="A22" s="34" t="s">
        <v>227</v>
      </c>
      <c r="B22" s="34" t="s">
        <v>228</v>
      </c>
      <c r="C22" s="34" t="s">
        <v>204</v>
      </c>
      <c r="D22" s="23" t="n">
        <v>153</v>
      </c>
    </row>
    <row r="23" customFormat="false" ht="15" hidden="false" customHeight="false" outlineLevel="0" collapsed="false">
      <c r="A23" s="34" t="s">
        <v>229</v>
      </c>
      <c r="B23" s="34" t="s">
        <v>228</v>
      </c>
      <c r="C23" s="34" t="s">
        <v>204</v>
      </c>
      <c r="D23" s="23" t="n">
        <v>129</v>
      </c>
    </row>
    <row r="24" customFormat="false" ht="15" hidden="false" customHeight="false" outlineLevel="0" collapsed="false">
      <c r="A24" s="34" t="s">
        <v>230</v>
      </c>
      <c r="B24" s="34" t="s">
        <v>228</v>
      </c>
      <c r="C24" s="34" t="s">
        <v>204</v>
      </c>
      <c r="D24" s="23" t="n">
        <v>114</v>
      </c>
    </row>
    <row r="25" customFormat="false" ht="15" hidden="false" customHeight="false" outlineLevel="0" collapsed="false">
      <c r="A25" s="34" t="s">
        <v>231</v>
      </c>
      <c r="B25" s="34" t="s">
        <v>228</v>
      </c>
      <c r="C25" s="34" t="s">
        <v>204</v>
      </c>
      <c r="D25" s="23" t="n">
        <v>51</v>
      </c>
    </row>
    <row r="26" customFormat="false" ht="15" hidden="false" customHeight="false" outlineLevel="0" collapsed="false">
      <c r="A26" s="34" t="s">
        <v>232</v>
      </c>
      <c r="B26" s="34" t="s">
        <v>228</v>
      </c>
      <c r="C26" s="34" t="s">
        <v>204</v>
      </c>
      <c r="D26" s="23" t="n">
        <v>51</v>
      </c>
    </row>
    <row r="27" customFormat="false" ht="15" hidden="false" customHeight="false" outlineLevel="0" collapsed="false">
      <c r="A27" s="34" t="s">
        <v>233</v>
      </c>
      <c r="B27" s="34" t="s">
        <v>228</v>
      </c>
      <c r="C27" s="34" t="s">
        <v>204</v>
      </c>
      <c r="D27" s="23" t="n">
        <v>48</v>
      </c>
    </row>
    <row r="28" customFormat="false" ht="15" hidden="false" customHeight="false" outlineLevel="0" collapsed="false">
      <c r="A28" s="34" t="s">
        <v>234</v>
      </c>
      <c r="B28" s="34" t="s">
        <v>228</v>
      </c>
      <c r="C28" s="34" t="s">
        <v>204</v>
      </c>
      <c r="D28" s="23" t="n">
        <v>36</v>
      </c>
    </row>
    <row r="29" customFormat="false" ht="15" hidden="false" customHeight="false" outlineLevel="0" collapsed="false">
      <c r="A29" s="34" t="s">
        <v>235</v>
      </c>
      <c r="B29" s="34" t="s">
        <v>236</v>
      </c>
      <c r="C29" s="34" t="s">
        <v>204</v>
      </c>
      <c r="D29" s="23" t="n">
        <v>135</v>
      </c>
    </row>
    <row r="30" customFormat="false" ht="15" hidden="false" customHeight="false" outlineLevel="0" collapsed="false">
      <c r="A30" s="34" t="s">
        <v>237</v>
      </c>
      <c r="B30" s="34" t="s">
        <v>236</v>
      </c>
      <c r="C30" s="34" t="s">
        <v>204</v>
      </c>
      <c r="D30" s="23" t="n">
        <v>134</v>
      </c>
    </row>
    <row r="31" customFormat="false" ht="15" hidden="false" customHeight="false" outlineLevel="0" collapsed="false">
      <c r="A31" s="34" t="s">
        <v>238</v>
      </c>
      <c r="B31" s="34" t="s">
        <v>236</v>
      </c>
      <c r="C31" s="34" t="s">
        <v>204</v>
      </c>
      <c r="D31" s="23" t="n">
        <v>134</v>
      </c>
    </row>
    <row r="32" customFormat="false" ht="15" hidden="false" customHeight="false" outlineLevel="0" collapsed="false">
      <c r="A32" s="34" t="s">
        <v>239</v>
      </c>
      <c r="B32" s="34" t="s">
        <v>236</v>
      </c>
      <c r="C32" s="34" t="s">
        <v>204</v>
      </c>
      <c r="D32" s="23" t="n">
        <v>130</v>
      </c>
    </row>
    <row r="33" customFormat="false" ht="15" hidden="false" customHeight="false" outlineLevel="0" collapsed="false">
      <c r="A33" s="34" t="s">
        <v>240</v>
      </c>
      <c r="B33" s="34" t="s">
        <v>236</v>
      </c>
      <c r="C33" s="34" t="s">
        <v>204</v>
      </c>
      <c r="D33" s="23" t="n">
        <v>125</v>
      </c>
    </row>
    <row r="34" customFormat="false" ht="15" hidden="false" customHeight="false" outlineLevel="0" collapsed="false">
      <c r="A34" s="34" t="s">
        <v>241</v>
      </c>
      <c r="B34" s="34" t="s">
        <v>236</v>
      </c>
      <c r="C34" s="34" t="s">
        <v>204</v>
      </c>
      <c r="D34" s="23" t="n">
        <v>123</v>
      </c>
    </row>
    <row r="35" customFormat="false" ht="15" hidden="false" customHeight="false" outlineLevel="0" collapsed="false">
      <c r="A35" s="34" t="s">
        <v>242</v>
      </c>
      <c r="B35" s="34" t="s">
        <v>236</v>
      </c>
      <c r="C35" s="34" t="s">
        <v>204</v>
      </c>
      <c r="D35" s="23" t="n">
        <v>117</v>
      </c>
    </row>
    <row r="36" customFormat="false" ht="15" hidden="false" customHeight="false" outlineLevel="0" collapsed="false">
      <c r="A36" s="34" t="s">
        <v>243</v>
      </c>
      <c r="B36" s="34" t="s">
        <v>244</v>
      </c>
      <c r="C36" s="34" t="s">
        <v>204</v>
      </c>
      <c r="D36" s="23" t="n">
        <v>149</v>
      </c>
    </row>
    <row r="37" customFormat="false" ht="15" hidden="false" customHeight="false" outlineLevel="0" collapsed="false">
      <c r="A37" s="34" t="s">
        <v>245</v>
      </c>
      <c r="B37" s="34" t="s">
        <v>244</v>
      </c>
      <c r="C37" s="34" t="s">
        <v>204</v>
      </c>
      <c r="D37" s="23" t="n">
        <v>140</v>
      </c>
    </row>
    <row r="38" customFormat="false" ht="15" hidden="false" customHeight="false" outlineLevel="0" collapsed="false">
      <c r="A38" s="34" t="s">
        <v>246</v>
      </c>
      <c r="B38" s="34" t="s">
        <v>244</v>
      </c>
      <c r="C38" s="34" t="s">
        <v>204</v>
      </c>
      <c r="D38" s="23" t="n">
        <v>139</v>
      </c>
    </row>
    <row r="39" customFormat="false" ht="15" hidden="false" customHeight="false" outlineLevel="0" collapsed="false">
      <c r="A39" s="34" t="s">
        <v>247</v>
      </c>
      <c r="B39" s="34" t="s">
        <v>244</v>
      </c>
      <c r="C39" s="34" t="s">
        <v>204</v>
      </c>
      <c r="D39" s="23" t="n">
        <v>133</v>
      </c>
    </row>
    <row r="40" customFormat="false" ht="15" hidden="false" customHeight="false" outlineLevel="0" collapsed="false">
      <c r="A40" s="34" t="s">
        <v>248</v>
      </c>
      <c r="B40" s="34" t="s">
        <v>244</v>
      </c>
      <c r="C40" s="34" t="s">
        <v>204</v>
      </c>
      <c r="D40" s="23" t="n">
        <v>127</v>
      </c>
    </row>
    <row r="41" customFormat="false" ht="15" hidden="false" customHeight="false" outlineLevel="0" collapsed="false">
      <c r="A41" s="34" t="s">
        <v>249</v>
      </c>
      <c r="B41" s="34" t="s">
        <v>244</v>
      </c>
      <c r="C41" s="34" t="s">
        <v>204</v>
      </c>
      <c r="D41" s="23" t="n">
        <v>112</v>
      </c>
    </row>
    <row r="42" customFormat="false" ht="15" hidden="false" customHeight="false" outlineLevel="0" collapsed="false">
      <c r="A42" s="34" t="s">
        <v>250</v>
      </c>
      <c r="B42" s="34" t="s">
        <v>220</v>
      </c>
      <c r="C42" s="34" t="s">
        <v>204</v>
      </c>
      <c r="D42" s="23" t="n">
        <v>191</v>
      </c>
    </row>
    <row r="43" customFormat="false" ht="15" hidden="false" customHeight="false" outlineLevel="0" collapsed="false">
      <c r="A43" s="34" t="s">
        <v>251</v>
      </c>
      <c r="B43" s="34" t="s">
        <v>220</v>
      </c>
      <c r="C43" s="34" t="s">
        <v>204</v>
      </c>
      <c r="D43" s="23" t="n">
        <v>180</v>
      </c>
    </row>
    <row r="44" customFormat="false" ht="15" hidden="false" customHeight="false" outlineLevel="0" collapsed="false">
      <c r="A44" s="34" t="s">
        <v>252</v>
      </c>
      <c r="B44" s="34" t="s">
        <v>220</v>
      </c>
      <c r="C44" s="34" t="s">
        <v>204</v>
      </c>
      <c r="D44" s="23" t="n">
        <v>177</v>
      </c>
    </row>
    <row r="45" customFormat="false" ht="15" hidden="false" customHeight="false" outlineLevel="0" collapsed="false">
      <c r="A45" s="34" t="s">
        <v>253</v>
      </c>
      <c r="B45" s="34" t="s">
        <v>220</v>
      </c>
      <c r="C45" s="34" t="s">
        <v>204</v>
      </c>
      <c r="D45" s="23" t="n">
        <v>176</v>
      </c>
    </row>
    <row r="46" customFormat="false" ht="15" hidden="false" customHeight="false" outlineLevel="0" collapsed="false">
      <c r="A46" s="34" t="s">
        <v>254</v>
      </c>
      <c r="B46" s="34" t="s">
        <v>220</v>
      </c>
      <c r="C46" s="34" t="s">
        <v>204</v>
      </c>
      <c r="D46" s="23" t="n">
        <v>167</v>
      </c>
    </row>
    <row r="47" customFormat="false" ht="15" hidden="false" customHeight="false" outlineLevel="0" collapsed="false">
      <c r="A47" s="34" t="s">
        <v>255</v>
      </c>
      <c r="B47" s="34" t="s">
        <v>222</v>
      </c>
      <c r="C47" s="34" t="s">
        <v>204</v>
      </c>
      <c r="D47" s="23" t="n">
        <v>261</v>
      </c>
    </row>
    <row r="48" customFormat="false" ht="15" hidden="false" customHeight="false" outlineLevel="0" collapsed="false">
      <c r="A48" s="34" t="s">
        <v>256</v>
      </c>
      <c r="B48" s="34" t="s">
        <v>222</v>
      </c>
      <c r="C48" s="34" t="s">
        <v>204</v>
      </c>
      <c r="D48" s="23" t="n">
        <v>248</v>
      </c>
    </row>
    <row r="49" customFormat="false" ht="15" hidden="false" customHeight="false" outlineLevel="0" collapsed="false">
      <c r="A49" s="34" t="s">
        <v>257</v>
      </c>
      <c r="B49" s="34" t="s">
        <v>222</v>
      </c>
      <c r="C49" s="34" t="s">
        <v>204</v>
      </c>
      <c r="D49" s="23" t="n">
        <v>243</v>
      </c>
    </row>
    <row r="50" customFormat="false" ht="15" hidden="false" customHeight="false" outlineLevel="0" collapsed="false">
      <c r="A50" s="34" t="s">
        <v>258</v>
      </c>
      <c r="B50" s="34" t="s">
        <v>224</v>
      </c>
      <c r="C50" s="34" t="s">
        <v>204</v>
      </c>
      <c r="D50" s="23" t="n">
        <v>190</v>
      </c>
    </row>
    <row r="51" customFormat="false" ht="15" hidden="false" customHeight="false" outlineLevel="0" collapsed="false">
      <c r="A51" s="34" t="s">
        <v>259</v>
      </c>
      <c r="B51" s="34" t="s">
        <v>224</v>
      </c>
      <c r="C51" s="34" t="s">
        <v>204</v>
      </c>
      <c r="D51" s="23" t="n">
        <v>165</v>
      </c>
    </row>
    <row r="52" customFormat="false" ht="15" hidden="false" customHeight="false" outlineLevel="0" collapsed="false">
      <c r="A52" s="34" t="s">
        <v>260</v>
      </c>
      <c r="B52" s="34" t="s">
        <v>224</v>
      </c>
      <c r="C52" s="34" t="s">
        <v>204</v>
      </c>
      <c r="D52" s="23" t="n">
        <v>162</v>
      </c>
    </row>
    <row r="53" customFormat="false" ht="15" hidden="false" customHeight="false" outlineLevel="0" collapsed="false">
      <c r="A53" s="34" t="s">
        <v>261</v>
      </c>
      <c r="B53" s="34" t="s">
        <v>218</v>
      </c>
      <c r="C53" s="34" t="s">
        <v>206</v>
      </c>
      <c r="D53" s="23" t="n">
        <v>351</v>
      </c>
    </row>
    <row r="54" customFormat="false" ht="15" hidden="false" customHeight="false" outlineLevel="0" collapsed="false">
      <c r="A54" s="34" t="s">
        <v>262</v>
      </c>
      <c r="B54" s="34" t="s">
        <v>218</v>
      </c>
      <c r="C54" s="34" t="s">
        <v>206</v>
      </c>
      <c r="D54" s="23" t="n">
        <v>336</v>
      </c>
    </row>
    <row r="55" customFormat="false" ht="15" hidden="false" customHeight="false" outlineLevel="0" collapsed="false">
      <c r="A55" s="34" t="s">
        <v>263</v>
      </c>
      <c r="B55" s="34" t="s">
        <v>228</v>
      </c>
      <c r="C55" s="34" t="s">
        <v>206</v>
      </c>
      <c r="D55" s="23" t="n">
        <v>131</v>
      </c>
    </row>
    <row r="56" customFormat="false" ht="15" hidden="false" customHeight="false" outlineLevel="0" collapsed="false">
      <c r="A56" s="34" t="s">
        <v>264</v>
      </c>
      <c r="B56" s="34" t="s">
        <v>236</v>
      </c>
      <c r="C56" s="34" t="s">
        <v>206</v>
      </c>
      <c r="D56" s="23" t="n">
        <v>142</v>
      </c>
    </row>
    <row r="57" customFormat="false" ht="15" hidden="false" customHeight="false" outlineLevel="0" collapsed="false">
      <c r="A57" s="34" t="s">
        <v>265</v>
      </c>
      <c r="B57" s="34" t="s">
        <v>244</v>
      </c>
      <c r="C57" s="34" t="s">
        <v>206</v>
      </c>
      <c r="D57" s="23" t="n">
        <v>139</v>
      </c>
    </row>
    <row r="58" customFormat="false" ht="15" hidden="false" customHeight="false" outlineLevel="0" collapsed="false">
      <c r="A58" s="34" t="s">
        <v>266</v>
      </c>
      <c r="B58" s="34" t="s">
        <v>244</v>
      </c>
      <c r="C58" s="34" t="s">
        <v>206</v>
      </c>
      <c r="D58" s="23" t="n">
        <v>137</v>
      </c>
    </row>
    <row r="59" customFormat="false" ht="15" hidden="false" customHeight="false" outlineLevel="0" collapsed="false">
      <c r="A59" s="27" t="s">
        <v>208</v>
      </c>
      <c r="D59" s="49" t="n">
        <f aca="false">SUM(D4:D58)</f>
        <v>10042</v>
      </c>
    </row>
    <row r="60" customFormat="false" ht="15" hidden="false" customHeight="false" outlineLevel="0" collapsed="false">
      <c r="A60" s="2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2026-10-12T22:18:21Z</dcterms:created>
  <dc:creator>openpyxl</dc:creator>
  <dc:description/>
  <dc:language>en-US</dc:language>
  <cp:lastModifiedBy/>
  <dcterms:modified xsi:type="dcterms:W3CDTF">2026-10-12T22:18:23Z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